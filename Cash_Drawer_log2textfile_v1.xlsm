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9980" windowHeight="8070"/>
  </bookViews>
  <sheets>
    <sheet name="Drawer Count" sheetId="1" r:id="rId1"/>
    <sheet name="pw is password" sheetId="2" r:id="rId2"/>
    <sheet name="LOG" sheetId="4" r:id="rId3"/>
    <sheet name="LOG_v1" sheetId="3" r:id="rId4"/>
  </sheets>
  <calcPr calcId="145621"/>
</workbook>
</file>

<file path=xl/calcChain.xml><?xml version="1.0" encoding="utf-8"?>
<calcChain xmlns="http://schemas.openxmlformats.org/spreadsheetml/2006/main">
  <c r="D126" i="4" l="1"/>
  <c r="D125" i="4"/>
  <c r="D124" i="4"/>
  <c r="D123" i="4"/>
  <c r="D122" i="4"/>
  <c r="D121" i="4"/>
  <c r="D120" i="4"/>
  <c r="D119" i="4"/>
  <c r="D118" i="4"/>
  <c r="D127" i="4" s="1"/>
  <c r="D117" i="4"/>
  <c r="D116" i="4"/>
  <c r="D114" i="4" l="1"/>
  <c r="D113" i="4"/>
  <c r="D112" i="4"/>
  <c r="D111" i="4"/>
  <c r="D110" i="4"/>
  <c r="D109" i="4"/>
  <c r="D108" i="4"/>
  <c r="D107" i="4"/>
  <c r="D106" i="4"/>
  <c r="D105" i="4"/>
  <c r="D104" i="4"/>
  <c r="D102" i="4"/>
  <c r="D101" i="4"/>
  <c r="D100" i="4"/>
  <c r="D99" i="4"/>
  <c r="D98" i="4"/>
  <c r="D97" i="4"/>
  <c r="D96" i="4"/>
  <c r="D95" i="4"/>
  <c r="D94" i="4"/>
  <c r="D93" i="4"/>
  <c r="D92" i="4"/>
  <c r="D89" i="4"/>
  <c r="D88" i="4"/>
  <c r="D87" i="4"/>
  <c r="D86" i="4"/>
  <c r="D85" i="4"/>
  <c r="D84" i="4"/>
  <c r="D83" i="4"/>
  <c r="D82" i="4"/>
  <c r="D81" i="4"/>
  <c r="D80" i="4"/>
  <c r="D79" i="4"/>
  <c r="D90" i="4" s="1"/>
  <c r="D76" i="4"/>
  <c r="D75" i="4"/>
  <c r="D74" i="4"/>
  <c r="D73" i="4"/>
  <c r="D72" i="4"/>
  <c r="D71" i="4"/>
  <c r="D70" i="4"/>
  <c r="D69" i="4"/>
  <c r="D68" i="4"/>
  <c r="D67" i="4"/>
  <c r="D66" i="4"/>
  <c r="D63" i="4"/>
  <c r="D62" i="4"/>
  <c r="D61" i="4"/>
  <c r="D60" i="4"/>
  <c r="D59" i="4"/>
  <c r="D58" i="4"/>
  <c r="D57" i="4"/>
  <c r="D56" i="4"/>
  <c r="D55" i="4"/>
  <c r="D54" i="4"/>
  <c r="D53" i="4"/>
  <c r="D50" i="4"/>
  <c r="D49" i="4"/>
  <c r="D48" i="4"/>
  <c r="D47" i="4"/>
  <c r="D46" i="4"/>
  <c r="D45" i="4"/>
  <c r="D44" i="4"/>
  <c r="D43" i="4"/>
  <c r="D42" i="4"/>
  <c r="D41" i="4"/>
  <c r="D40" i="4"/>
  <c r="D37" i="4"/>
  <c r="D36" i="4"/>
  <c r="D35" i="4"/>
  <c r="D34" i="4"/>
  <c r="D33" i="4"/>
  <c r="D32" i="4"/>
  <c r="D31" i="4"/>
  <c r="D30" i="4"/>
  <c r="D29" i="4"/>
  <c r="D28" i="4"/>
  <c r="D27" i="4"/>
  <c r="D51" i="4" l="1"/>
  <c r="D64" i="4"/>
  <c r="D77" i="4"/>
  <c r="D25" i="4"/>
  <c r="D24" i="4"/>
  <c r="D23" i="4"/>
  <c r="D22" i="4"/>
  <c r="D21" i="4"/>
  <c r="D20" i="4"/>
  <c r="D19" i="4"/>
  <c r="D18" i="4"/>
  <c r="D17" i="4"/>
  <c r="D16" i="4"/>
  <c r="D15" i="4"/>
  <c r="D12" i="4" l="1"/>
  <c r="D11" i="4"/>
  <c r="D10" i="4"/>
  <c r="D9" i="4"/>
  <c r="D8" i="4"/>
  <c r="D7" i="4"/>
  <c r="D6" i="4"/>
  <c r="D5" i="4"/>
  <c r="D13" i="4" s="1"/>
  <c r="D4" i="4"/>
  <c r="D3" i="4"/>
  <c r="D2" i="4"/>
  <c r="D78" i="3" l="1"/>
  <c r="D77" i="3"/>
  <c r="D76" i="3"/>
  <c r="D75" i="3"/>
  <c r="D74" i="3"/>
  <c r="D73" i="3"/>
  <c r="D72" i="3"/>
  <c r="D71" i="3"/>
  <c r="D79" i="3" s="1"/>
  <c r="D70" i="3"/>
  <c r="D69" i="3"/>
  <c r="D68" i="3"/>
  <c r="D65" i="3"/>
  <c r="D64" i="3"/>
  <c r="D63" i="3"/>
  <c r="D62" i="3"/>
  <c r="D61" i="3"/>
  <c r="D60" i="3"/>
  <c r="D59" i="3"/>
  <c r="D58" i="3"/>
  <c r="D66" i="3" s="1"/>
  <c r="D57" i="3"/>
  <c r="D56" i="3"/>
  <c r="D55" i="3"/>
  <c r="C3" i="1" l="1"/>
  <c r="C4" i="1"/>
  <c r="C5" i="1"/>
  <c r="C6" i="1"/>
  <c r="C7" i="1"/>
  <c r="C8" i="1"/>
  <c r="C9" i="1"/>
  <c r="C10" i="1"/>
  <c r="C11" i="1"/>
  <c r="C12" i="1"/>
  <c r="C2" i="1"/>
  <c r="D38" i="4" l="1"/>
  <c r="C13" i="1"/>
</calcChain>
</file>

<file path=xl/sharedStrings.xml><?xml version="1.0" encoding="utf-8"?>
<sst xmlns="http://schemas.openxmlformats.org/spreadsheetml/2006/main" count="44" uniqueCount="7">
  <si>
    <t>denom</t>
  </si>
  <si>
    <t>count</t>
  </si>
  <si>
    <t>value</t>
  </si>
  <si>
    <t>date</t>
  </si>
  <si>
    <t>total</t>
  </si>
  <si>
    <t xml:space="preserve"> denom </t>
  </si>
  <si>
    <t xml:space="preserve"> value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</si>
</sst>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dd/mm/yyyy\ hh:mm:ss"/>
    <numFmt numFmtId="165" formatCode="ddd\ dd/mm/yyyy\ hh:mm:ss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Protection="1">
      <protection locked="0"/>
    </xf>
    <xf numFmtId="43" fontId="0" fillId="0" borderId="0" xfId="1" applyFont="1" applyProtection="1"/>
    <xf numFmtId="43" fontId="2" fillId="0" borderId="0" xfId="1" applyFont="1" applyProtection="1"/>
    <xf numFmtId="0" fontId="0" fillId="0" borderId="0" xfId="0" applyProtection="1"/>
    <xf numFmtId="43" fontId="0" fillId="0" borderId="0" xfId="1" applyFont="1"/>
    <xf numFmtId="164" fontId="0" fillId="0" borderId="0" xfId="0" applyNumberFormat="1"/>
    <xf numFmtId="4" fontId="0" fillId="0" borderId="0" xfId="0" applyNumberFormat="1"/>
    <xf numFmtId="165" fontId="0" fillId="0" borderId="0" xfId="0" applyNumberFormat="1"/>
    <xf numFmtId="3" fontId="0" fillId="0" borderId="0" xfId="0" applyNumberFormat="1"/>
    <xf numFmtId="4" fontId="0" fillId="0" borderId="0" xfId="1" applyNumberFormat="1" applyFont="1" applyProtection="1"/>
    <xf numFmtId="4" fontId="2" fillId="0" borderId="0" xfId="1" applyNumberFormat="1" applyFont="1" applyProtection="1"/>
    <xf numFmtId="3" fontId="0" fillId="0" borderId="0" xfId="0" applyNumberFormat="1" applyProtection="1"/>
    <xf numFmtId="3" fontId="0" fillId="0" borderId="0" xfId="0" applyNumberFormat="1" applyProtection="1">
      <protection locked="0"/>
    </xf>
    <xf numFmtId="4" fontId="1" fillId="0" borderId="0" xfId="0" applyNumberFormat="1" applyFont="1" applyProtection="1"/>
  </cellXfs>
  <cellStyles count="2">
    <cellStyle name="Comma" xfId="1" builtinId="3"/>
    <cellStyle name="Normal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numFmt numFmtId="164" formatCode="dd/mm/yyyy\ hh:mm:ss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</xdr:row>
          <xdr:rowOff>114300</xdr:rowOff>
        </xdr:from>
        <xdr:to>
          <xdr:col>5</xdr:col>
          <xdr:colOff>152400</xdr:colOff>
          <xdr:row>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12</xdr:row>
          <xdr:rowOff>104775</xdr:rowOff>
        </xdr:from>
        <xdr:to>
          <xdr:col>5</xdr:col>
          <xdr:colOff>142875</xdr:colOff>
          <xdr:row>14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Finished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13" totalsRowCount="1" headerRowDxfId="97" dataDxfId="96" totalsRowDxfId="95">
  <autoFilter ref="A1:C12"/>
  <tableColumns count="3">
    <tableColumn id="1" name="denom" dataDxfId="94" totalsRowDxfId="93" dataCellStyle="Comma"/>
    <tableColumn id="2" name="count" dataDxfId="92" totalsRowDxfId="91"/>
    <tableColumn id="3" name="value" totalsRowFunction="sum" dataDxfId="90" totalsRowDxfId="89" dataCellStyle="Comma">
      <calculatedColumnFormula>B2*A2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able14" displayName="Table14" ref="B1:D13" totalsRowCount="1" headerRowDxfId="88" dataDxfId="87" totalsRowDxfId="86">
  <autoFilter ref="B1:D12"/>
  <tableColumns count="3">
    <tableColumn id="1" name="denom" dataDxfId="43" totalsRowDxfId="50" dataCellStyle="Comma"/>
    <tableColumn id="2" name="count" dataDxfId="29" totalsRowDxfId="42"/>
    <tableColumn id="3" name="value" totalsRowFunction="sum" dataDxfId="28" totalsRowDxfId="27" dataCellStyle="Comma">
      <calculatedColumnFormula>C2*B2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6" name="Table17" displayName="Table17" ref="B14:D26" totalsRowCount="1" headerRowDxfId="85" dataDxfId="84">
  <autoFilter ref="B14:D25"/>
  <tableColumns count="3">
    <tableColumn id="1" name="denom" totalsRowLabel=" denom " dataDxfId="41" totalsRowDxfId="49" dataCellStyle="Comma"/>
    <tableColumn id="2" name="count" totalsRowLabel="count" dataDxfId="26" totalsRowDxfId="40"/>
    <tableColumn id="3" name="value" totalsRowLabel=" value " dataDxfId="25" totalsRowDxfId="24" dataCellStyle="Comma">
      <calculatedColumnFormula>C15*B15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7" name="Table18" displayName="Table18" ref="B39:D51" totalsRowCount="1" headerRowDxfId="83" dataDxfId="82" totalsRowDxfId="81">
  <autoFilter ref="B39:D50"/>
  <tableColumns count="3">
    <tableColumn id="1" name="denom" dataDxfId="39" totalsRowDxfId="48" dataCellStyle="Comma"/>
    <tableColumn id="2" name="count" dataDxfId="23" totalsRowDxfId="38"/>
    <tableColumn id="3" name="value" totalsRowFunction="sum" dataDxfId="22" totalsRowDxfId="21" dataCellStyle="Comma">
      <calculatedColumnFormula>C40*B40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8" name="Table19" displayName="Table19" ref="B52:D64" totalsRowCount="1" headerRowDxfId="80" dataDxfId="79" totalsRowDxfId="78">
  <autoFilter ref="B52:D63"/>
  <tableColumns count="3">
    <tableColumn id="1" name="denom" dataDxfId="37" totalsRowDxfId="47" dataCellStyle="Comma"/>
    <tableColumn id="2" name="count" dataDxfId="20" totalsRowDxfId="36"/>
    <tableColumn id="3" name="value" totalsRowFunction="sum" dataDxfId="19" totalsRowDxfId="18" dataCellStyle="Comma">
      <calculatedColumnFormula>C53*B53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9" name="Table110" displayName="Table110" ref="B65:D77" totalsRowCount="1" headerRowDxfId="77" dataDxfId="76" totalsRowDxfId="75">
  <autoFilter ref="B65:D76"/>
  <tableColumns count="3">
    <tableColumn id="1" name="denom" dataDxfId="35" totalsRowDxfId="46" dataCellStyle="Comma"/>
    <tableColumn id="2" name="count" dataDxfId="17" totalsRowDxfId="34"/>
    <tableColumn id="3" name="value" totalsRowFunction="sum" dataDxfId="16" totalsRowDxfId="15" dataCellStyle="Comma">
      <calculatedColumnFormula>C66*B66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10" name="Table111" displayName="Table111" ref="B78:D90" totalsRowCount="1" headerRowDxfId="74" dataDxfId="73" totalsRowDxfId="72">
  <autoFilter ref="B78:D89"/>
  <tableColumns count="3">
    <tableColumn id="1" name="denom" dataDxfId="33" totalsRowDxfId="45" dataCellStyle="Comma"/>
    <tableColumn id="2" name="count" dataDxfId="14" totalsRowDxfId="32"/>
    <tableColumn id="3" name="value" totalsRowFunction="sum" dataDxfId="13" totalsRowDxfId="12" dataCellStyle="Comma">
      <calculatedColumnFormula>C79*B79</calculatedColumnFormula>
    </tableColumn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11" name="Table112" displayName="Table112" ref="B91:D103" totalsRowCount="1" headerRowDxfId="71" dataDxfId="70">
  <autoFilter ref="B91:D102"/>
  <tableColumns count="3">
    <tableColumn id="1" name="denom" totalsRowLabel=" denom " dataDxfId="31" totalsRowDxfId="44" dataCellStyle="Comma"/>
    <tableColumn id="2" name="count" totalsRowLabel="count" dataDxfId="11" totalsRowDxfId="30"/>
    <tableColumn id="3" name="value" totalsRowLabel=" value " dataDxfId="10" totalsRowDxfId="9" dataCellStyle="Comma">
      <calculatedColumnFormula>C92*B92</calculatedColumnFormula>
    </tableColumn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2" name="Table113" displayName="Table113" ref="B115:D127" totalsRowCount="1" headerRowDxfId="8" dataDxfId="7" totalsRowDxfId="6">
  <autoFilter ref="B115:D126"/>
  <tableColumns count="3">
    <tableColumn id="1" name="denom" dataDxfId="4" totalsRowDxfId="5" dataCellStyle="Comma"/>
    <tableColumn id="2" name="count" dataDxfId="2" totalsRowDxfId="3"/>
    <tableColumn id="3" name="value" totalsRowFunction="sum" dataDxfId="0" totalsRowDxfId="1" dataCellStyle="Comma">
      <calculatedColumnFormula>C116*B116</calculatedColumnFormula>
    </tableColumn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2" name="Table2" displayName="Table2" ref="A1:E53" totalsRowShown="0">
  <autoFilter ref="A1:E53"/>
  <tableColumns count="5">
    <tableColumn id="1" name="date" dataDxfId="69"/>
    <tableColumn id="2" name="denom" dataCellStyle="Comma"/>
    <tableColumn id="3" name="count"/>
    <tableColumn id="4" name="value" dataCellStyle="Comma"/>
    <tableColumn id="5" name="total" dataCellStyle="Comma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4" name="Table15" displayName="Table15" ref="B54:D66" totalsRowCount="1" headerRowDxfId="68" dataDxfId="67" totalsRowDxfId="66">
  <autoFilter ref="B54:D65"/>
  <tableColumns count="3">
    <tableColumn id="1" name="denom" dataDxfId="65" totalsRowDxfId="64" dataCellStyle="Comma"/>
    <tableColumn id="2" name="count" dataDxfId="63" totalsRowDxfId="62"/>
    <tableColumn id="3" name="value" totalsRowFunction="sum" dataDxfId="61" totalsRowDxfId="60" dataCellStyle="Comma">
      <calculatedColumnFormula>C55*B55</calculatedColumnFormula>
    </tableColumn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5" name="Table16" displayName="Table16" ref="B67:D79" totalsRowCount="1" headerRowDxfId="59" dataDxfId="58" totalsRowDxfId="57">
  <autoFilter ref="B67:D78"/>
  <tableColumns count="3">
    <tableColumn id="1" name="denom" dataDxfId="56" totalsRowDxfId="55" dataCellStyle="Comma"/>
    <tableColumn id="2" name="count" dataDxfId="54" totalsRowDxfId="53"/>
    <tableColumn id="3" name="value" totalsRowFunction="sum" dataDxfId="52" totalsRowDxfId="51" dataCellStyle="Comma">
      <calculatedColumnFormula>C68*B68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>
      <selection activeCell="E9" sqref="E9"/>
    </sheetView>
  </sheetViews>
  <sheetFormatPr defaultRowHeight="15" x14ac:dyDescent="0.25"/>
  <cols>
    <col min="1" max="1" width="10.140625" style="2" customWidth="1"/>
    <col min="2" max="2" width="9.140625" style="1"/>
    <col min="3" max="3" width="11.5703125" style="2" customWidth="1"/>
    <col min="4" max="16384" width="9.140625" style="1"/>
  </cols>
  <sheetData>
    <row r="1" spans="1:3" s="4" customFormat="1" x14ac:dyDescent="0.25">
      <c r="A1" s="2" t="s">
        <v>0</v>
      </c>
      <c r="B1" s="4" t="s">
        <v>1</v>
      </c>
      <c r="C1" s="2" t="s">
        <v>2</v>
      </c>
    </row>
    <row r="2" spans="1:3" x14ac:dyDescent="0.25">
      <c r="A2" s="2">
        <v>100</v>
      </c>
      <c r="B2" s="1">
        <v>3</v>
      </c>
      <c r="C2" s="2">
        <f>B2*A2</f>
        <v>300</v>
      </c>
    </row>
    <row r="3" spans="1:3" x14ac:dyDescent="0.25">
      <c r="A3" s="2">
        <v>50</v>
      </c>
      <c r="B3" s="1">
        <v>4</v>
      </c>
      <c r="C3" s="2">
        <f t="shared" ref="C3:C12" si="0">B3*A3</f>
        <v>200</v>
      </c>
    </row>
    <row r="4" spans="1:3" x14ac:dyDescent="0.25">
      <c r="A4" s="2">
        <v>20</v>
      </c>
      <c r="B4" s="1">
        <v>5</v>
      </c>
      <c r="C4" s="2">
        <f t="shared" si="0"/>
        <v>100</v>
      </c>
    </row>
    <row r="5" spans="1:3" x14ac:dyDescent="0.25">
      <c r="A5" s="2">
        <v>10</v>
      </c>
      <c r="B5" s="1">
        <v>6</v>
      </c>
      <c r="C5" s="2">
        <f t="shared" si="0"/>
        <v>60</v>
      </c>
    </row>
    <row r="6" spans="1:3" x14ac:dyDescent="0.25">
      <c r="A6" s="2">
        <v>5</v>
      </c>
      <c r="B6" s="1">
        <v>7</v>
      </c>
      <c r="C6" s="2">
        <f t="shared" si="0"/>
        <v>35</v>
      </c>
    </row>
    <row r="7" spans="1:3" x14ac:dyDescent="0.25">
      <c r="A7" s="2">
        <v>2</v>
      </c>
      <c r="B7" s="1">
        <v>8</v>
      </c>
      <c r="C7" s="2">
        <f t="shared" si="0"/>
        <v>16</v>
      </c>
    </row>
    <row r="8" spans="1:3" x14ac:dyDescent="0.25">
      <c r="A8" s="2">
        <v>1</v>
      </c>
      <c r="B8" s="1">
        <v>9</v>
      </c>
      <c r="C8" s="2">
        <f t="shared" si="0"/>
        <v>9</v>
      </c>
    </row>
    <row r="9" spans="1:3" x14ac:dyDescent="0.25">
      <c r="A9" s="2">
        <v>0.5</v>
      </c>
      <c r="B9" s="1">
        <v>0</v>
      </c>
      <c r="C9" s="2">
        <f t="shared" si="0"/>
        <v>0</v>
      </c>
    </row>
    <row r="10" spans="1:3" x14ac:dyDescent="0.25">
      <c r="A10" s="2">
        <v>0.2</v>
      </c>
      <c r="B10" s="1">
        <v>2</v>
      </c>
      <c r="C10" s="2">
        <f t="shared" si="0"/>
        <v>0.4</v>
      </c>
    </row>
    <row r="11" spans="1:3" x14ac:dyDescent="0.25">
      <c r="A11" s="2">
        <v>0.1</v>
      </c>
      <c r="B11" s="1">
        <v>3</v>
      </c>
      <c r="C11" s="2">
        <f t="shared" si="0"/>
        <v>0.30000000000000004</v>
      </c>
    </row>
    <row r="12" spans="1:3" x14ac:dyDescent="0.25">
      <c r="A12" s="2">
        <v>0.05</v>
      </c>
      <c r="B12" s="1">
        <v>4</v>
      </c>
      <c r="C12" s="2">
        <f t="shared" si="0"/>
        <v>0.2</v>
      </c>
    </row>
    <row r="13" spans="1:3" x14ac:dyDescent="0.25">
      <c r="A13" s="3"/>
      <c r="C13" s="3">
        <f>SUBTOTAL(109,Table1[value])</f>
        <v>720.9</v>
      </c>
    </row>
  </sheetData>
  <sheetProtection password="83AF" sheet="1" objects="1" scenarios="1"/>
  <dataValidations count="1">
    <dataValidation type="whole" allowBlank="1" showInputMessage="1" showErrorMessage="1" sqref="B2:B12">
      <formula1>0</formula1>
      <formula2>12345678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tnReset" altText="Reset">
                <anchor moveWithCells="1" sizeWithCells="1">
                  <from>
                    <xdr:col>3</xdr:col>
                    <xdr:colOff>371475</xdr:colOff>
                    <xdr:row>1</xdr:row>
                    <xdr:rowOff>114300</xdr:rowOff>
                  </from>
                  <to>
                    <xdr:col>5</xdr:col>
                    <xdr:colOff>152400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tnFinished">
                <anchor moveWithCells="1" sizeWithCells="1">
                  <from>
                    <xdr:col>3</xdr:col>
                    <xdr:colOff>409575</xdr:colOff>
                    <xdr:row>12</xdr:row>
                    <xdr:rowOff>104775</xdr:rowOff>
                  </from>
                  <to>
                    <xdr:col>5</xdr:col>
                    <xdr:colOff>142875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27"/>
  <sheetViews>
    <sheetView topLeftCell="A106" workbookViewId="0">
      <selection activeCell="A14" sqref="A1:A14"/>
    </sheetView>
  </sheetViews>
  <sheetFormatPr defaultRowHeight="15" x14ac:dyDescent="0.25"/>
  <cols>
    <col min="1" max="1" width="22.42578125" style="8" bestFit="1" customWidth="1"/>
    <col min="2" max="2" width="10.85546875" style="7" bestFit="1" customWidth="1"/>
    <col min="3" max="3" width="9.140625" style="9"/>
    <col min="4" max="4" width="11.42578125" style="7" customWidth="1"/>
  </cols>
  <sheetData>
    <row r="1" spans="1:4" x14ac:dyDescent="0.25">
      <c r="A1" s="8">
        <v>42889.558680555558</v>
      </c>
      <c r="B1" s="10" t="s">
        <v>0</v>
      </c>
      <c r="C1" s="12" t="s">
        <v>1</v>
      </c>
      <c r="D1" s="10" t="s">
        <v>2</v>
      </c>
    </row>
    <row r="2" spans="1:4" x14ac:dyDescent="0.25">
      <c r="A2" s="8">
        <v>42889.558680555558</v>
      </c>
      <c r="B2" s="10">
        <v>100</v>
      </c>
      <c r="C2" s="13">
        <v>1</v>
      </c>
      <c r="D2" s="10">
        <f>C2*B2</f>
        <v>100</v>
      </c>
    </row>
    <row r="3" spans="1:4" x14ac:dyDescent="0.25">
      <c r="A3" s="8">
        <v>42889.558680555558</v>
      </c>
      <c r="B3" s="10">
        <v>50</v>
      </c>
      <c r="C3" s="13">
        <v>2</v>
      </c>
      <c r="D3" s="10">
        <f t="shared" ref="D3:D12" si="0">C3*B3</f>
        <v>100</v>
      </c>
    </row>
    <row r="4" spans="1:4" x14ac:dyDescent="0.25">
      <c r="A4" s="8">
        <v>42889.558680555558</v>
      </c>
      <c r="B4" s="10">
        <v>20</v>
      </c>
      <c r="C4" s="13">
        <v>3</v>
      </c>
      <c r="D4" s="10">
        <f t="shared" si="0"/>
        <v>60</v>
      </c>
    </row>
    <row r="5" spans="1:4" x14ac:dyDescent="0.25">
      <c r="A5" s="8">
        <v>42889.558680555558</v>
      </c>
      <c r="B5" s="10">
        <v>10</v>
      </c>
      <c r="C5" s="13">
        <v>4</v>
      </c>
      <c r="D5" s="10">
        <f t="shared" si="0"/>
        <v>40</v>
      </c>
    </row>
    <row r="6" spans="1:4" x14ac:dyDescent="0.25">
      <c r="A6" s="8">
        <v>42889.558680555558</v>
      </c>
      <c r="B6" s="10">
        <v>5</v>
      </c>
      <c r="C6" s="13">
        <v>5</v>
      </c>
      <c r="D6" s="10">
        <f t="shared" si="0"/>
        <v>25</v>
      </c>
    </row>
    <row r="7" spans="1:4" x14ac:dyDescent="0.25">
      <c r="A7" s="8">
        <v>42889.558680555558</v>
      </c>
      <c r="B7" s="10">
        <v>2</v>
      </c>
      <c r="C7" s="13">
        <v>6</v>
      </c>
      <c r="D7" s="10">
        <f t="shared" si="0"/>
        <v>12</v>
      </c>
    </row>
    <row r="8" spans="1:4" x14ac:dyDescent="0.25">
      <c r="A8" s="8">
        <v>42889.558680555558</v>
      </c>
      <c r="B8" s="10">
        <v>1</v>
      </c>
      <c r="C8" s="13">
        <v>7</v>
      </c>
      <c r="D8" s="10">
        <f t="shared" si="0"/>
        <v>7</v>
      </c>
    </row>
    <row r="9" spans="1:4" x14ac:dyDescent="0.25">
      <c r="A9" s="8">
        <v>42889.558680555558</v>
      </c>
      <c r="B9" s="10">
        <v>0.5</v>
      </c>
      <c r="C9" s="13">
        <v>8</v>
      </c>
      <c r="D9" s="10">
        <f t="shared" si="0"/>
        <v>4</v>
      </c>
    </row>
    <row r="10" spans="1:4" x14ac:dyDescent="0.25">
      <c r="A10" s="8">
        <v>42889.558680555558</v>
      </c>
      <c r="B10" s="10">
        <v>0.2</v>
      </c>
      <c r="C10" s="13">
        <v>9</v>
      </c>
      <c r="D10" s="10">
        <f t="shared" si="0"/>
        <v>1.8</v>
      </c>
    </row>
    <row r="11" spans="1:4" x14ac:dyDescent="0.25">
      <c r="A11" s="8">
        <v>42889.558680555558</v>
      </c>
      <c r="B11" s="10">
        <v>0.1</v>
      </c>
      <c r="C11" s="13">
        <v>1</v>
      </c>
      <c r="D11" s="10">
        <f t="shared" si="0"/>
        <v>0.1</v>
      </c>
    </row>
    <row r="12" spans="1:4" x14ac:dyDescent="0.25">
      <c r="A12" s="8">
        <v>42889.558680555558</v>
      </c>
      <c r="B12" s="10">
        <v>0.05</v>
      </c>
      <c r="C12" s="13">
        <v>2</v>
      </c>
      <c r="D12" s="10">
        <f t="shared" si="0"/>
        <v>0.1</v>
      </c>
    </row>
    <row r="13" spans="1:4" x14ac:dyDescent="0.25">
      <c r="A13" s="8">
        <v>42889.558680555558</v>
      </c>
      <c r="B13" s="11"/>
      <c r="C13" s="13"/>
      <c r="D13" s="11">
        <f>SUBTOTAL(109,Table14[value])</f>
        <v>350.00000000000006</v>
      </c>
    </row>
    <row r="14" spans="1:4" x14ac:dyDescent="0.25">
      <c r="A14" s="8">
        <v>42889.920416666668</v>
      </c>
      <c r="B14" s="10" t="s">
        <v>0</v>
      </c>
      <c r="C14" s="12" t="s">
        <v>1</v>
      </c>
      <c r="D14" s="10" t="s">
        <v>2</v>
      </c>
    </row>
    <row r="15" spans="1:4" x14ac:dyDescent="0.25">
      <c r="A15" s="8">
        <v>42889.920416666668</v>
      </c>
      <c r="B15" s="10">
        <v>100</v>
      </c>
      <c r="C15" s="13">
        <v>1</v>
      </c>
      <c r="D15" s="10">
        <f>C15*B15</f>
        <v>100</v>
      </c>
    </row>
    <row r="16" spans="1:4" x14ac:dyDescent="0.25">
      <c r="A16" s="8">
        <v>42889.920416666668</v>
      </c>
      <c r="B16" s="10">
        <v>50</v>
      </c>
      <c r="C16" s="13">
        <v>2</v>
      </c>
      <c r="D16" s="10">
        <f t="shared" ref="D16:D25" si="1">C16*B16</f>
        <v>100</v>
      </c>
    </row>
    <row r="17" spans="1:4" x14ac:dyDescent="0.25">
      <c r="A17" s="8">
        <v>42889.920416666668</v>
      </c>
      <c r="B17" s="10">
        <v>20</v>
      </c>
      <c r="C17" s="13">
        <v>3</v>
      </c>
      <c r="D17" s="10">
        <f t="shared" si="1"/>
        <v>60</v>
      </c>
    </row>
    <row r="18" spans="1:4" x14ac:dyDescent="0.25">
      <c r="A18" s="8">
        <v>42889.920416666668</v>
      </c>
      <c r="B18" s="10">
        <v>10</v>
      </c>
      <c r="C18" s="13">
        <v>4</v>
      </c>
      <c r="D18" s="10">
        <f t="shared" si="1"/>
        <v>40</v>
      </c>
    </row>
    <row r="19" spans="1:4" x14ac:dyDescent="0.25">
      <c r="A19" s="8">
        <v>42889.920416666668</v>
      </c>
      <c r="B19" s="10">
        <v>5</v>
      </c>
      <c r="C19" s="13">
        <v>5</v>
      </c>
      <c r="D19" s="10">
        <f t="shared" si="1"/>
        <v>25</v>
      </c>
    </row>
    <row r="20" spans="1:4" x14ac:dyDescent="0.25">
      <c r="A20" s="8">
        <v>42889.920416666668</v>
      </c>
      <c r="B20" s="10">
        <v>2</v>
      </c>
      <c r="C20" s="13">
        <v>6</v>
      </c>
      <c r="D20" s="10">
        <f t="shared" si="1"/>
        <v>12</v>
      </c>
    </row>
    <row r="21" spans="1:4" x14ac:dyDescent="0.25">
      <c r="A21" s="8">
        <v>42889.920416666668</v>
      </c>
      <c r="B21" s="10">
        <v>1</v>
      </c>
      <c r="C21" s="13">
        <v>7</v>
      </c>
      <c r="D21" s="10">
        <f t="shared" si="1"/>
        <v>7</v>
      </c>
    </row>
    <row r="22" spans="1:4" x14ac:dyDescent="0.25">
      <c r="A22" s="8">
        <v>42889.920416666668</v>
      </c>
      <c r="B22" s="10">
        <v>0.5</v>
      </c>
      <c r="C22" s="13">
        <v>8</v>
      </c>
      <c r="D22" s="10">
        <f t="shared" si="1"/>
        <v>4</v>
      </c>
    </row>
    <row r="23" spans="1:4" x14ac:dyDescent="0.25">
      <c r="A23" s="8">
        <v>42889.920416666668</v>
      </c>
      <c r="B23" s="10">
        <v>0.2</v>
      </c>
      <c r="C23" s="13">
        <v>9</v>
      </c>
      <c r="D23" s="10">
        <f t="shared" si="1"/>
        <v>1.8</v>
      </c>
    </row>
    <row r="24" spans="1:4" x14ac:dyDescent="0.25">
      <c r="A24" s="8">
        <v>42889.920416666668</v>
      </c>
      <c r="B24" s="10">
        <v>0.1</v>
      </c>
      <c r="C24" s="13">
        <v>1</v>
      </c>
      <c r="D24" s="10">
        <f t="shared" si="1"/>
        <v>0.1</v>
      </c>
    </row>
    <row r="25" spans="1:4" x14ac:dyDescent="0.25">
      <c r="A25" s="8">
        <v>42889.920416666668</v>
      </c>
      <c r="B25" s="10">
        <v>0.05</v>
      </c>
      <c r="C25" s="13">
        <v>2</v>
      </c>
      <c r="D25" s="10">
        <f t="shared" si="1"/>
        <v>0.1</v>
      </c>
    </row>
    <row r="26" spans="1:4" x14ac:dyDescent="0.25">
      <c r="A26" s="8">
        <v>42889.920416666668</v>
      </c>
      <c r="B26" s="14" t="s">
        <v>5</v>
      </c>
      <c r="C26" s="12" t="s">
        <v>1</v>
      </c>
      <c r="D26" s="14" t="s">
        <v>6</v>
      </c>
    </row>
    <row r="27" spans="1:4" x14ac:dyDescent="0.25">
      <c r="A27" s="8">
        <v>42890.484560185185</v>
      </c>
      <c r="B27" s="10">
        <v>100</v>
      </c>
      <c r="C27" s="13">
        <v>1</v>
      </c>
      <c r="D27" s="10">
        <f>C27*B27</f>
        <v>100</v>
      </c>
    </row>
    <row r="28" spans="1:4" x14ac:dyDescent="0.25">
      <c r="A28" s="8">
        <v>42890.484560185185</v>
      </c>
      <c r="B28" s="10">
        <v>50</v>
      </c>
      <c r="C28" s="13">
        <v>2</v>
      </c>
      <c r="D28" s="10">
        <f t="shared" ref="D28:D37" si="2">C28*B28</f>
        <v>100</v>
      </c>
    </row>
    <row r="29" spans="1:4" x14ac:dyDescent="0.25">
      <c r="A29" s="8">
        <v>42890.484560185185</v>
      </c>
      <c r="B29" s="10">
        <v>20</v>
      </c>
      <c r="C29" s="13">
        <v>3</v>
      </c>
      <c r="D29" s="10">
        <f t="shared" si="2"/>
        <v>60</v>
      </c>
    </row>
    <row r="30" spans="1:4" x14ac:dyDescent="0.25">
      <c r="A30" s="8">
        <v>42890.484560185185</v>
      </c>
      <c r="B30" s="10">
        <v>10</v>
      </c>
      <c r="C30" s="13">
        <v>4</v>
      </c>
      <c r="D30" s="10">
        <f t="shared" si="2"/>
        <v>40</v>
      </c>
    </row>
    <row r="31" spans="1:4" x14ac:dyDescent="0.25">
      <c r="A31" s="8">
        <v>42890.484560185185</v>
      </c>
      <c r="B31" s="10">
        <v>5</v>
      </c>
      <c r="C31" s="13">
        <v>5</v>
      </c>
      <c r="D31" s="10">
        <f t="shared" si="2"/>
        <v>25</v>
      </c>
    </row>
    <row r="32" spans="1:4" x14ac:dyDescent="0.25">
      <c r="A32" s="8">
        <v>42890.484560185185</v>
      </c>
      <c r="B32" s="10">
        <v>2</v>
      </c>
      <c r="C32" s="13">
        <v>6</v>
      </c>
      <c r="D32" s="10">
        <f t="shared" si="2"/>
        <v>12</v>
      </c>
    </row>
    <row r="33" spans="1:4" x14ac:dyDescent="0.25">
      <c r="A33" s="8">
        <v>42890.484560185185</v>
      </c>
      <c r="B33" s="10">
        <v>1</v>
      </c>
      <c r="C33" s="13">
        <v>7</v>
      </c>
      <c r="D33" s="10">
        <f t="shared" si="2"/>
        <v>7</v>
      </c>
    </row>
    <row r="34" spans="1:4" x14ac:dyDescent="0.25">
      <c r="A34" s="8">
        <v>42890.484560185185</v>
      </c>
      <c r="B34" s="10">
        <v>0.5</v>
      </c>
      <c r="C34" s="13">
        <v>8</v>
      </c>
      <c r="D34" s="10">
        <f t="shared" si="2"/>
        <v>4</v>
      </c>
    </row>
    <row r="35" spans="1:4" x14ac:dyDescent="0.25">
      <c r="A35" s="8">
        <v>42890.484560185185</v>
      </c>
      <c r="B35" s="10">
        <v>0.2</v>
      </c>
      <c r="C35" s="13">
        <v>9</v>
      </c>
      <c r="D35" s="10">
        <f t="shared" si="2"/>
        <v>1.8</v>
      </c>
    </row>
    <row r="36" spans="1:4" x14ac:dyDescent="0.25">
      <c r="A36" s="8">
        <v>42890.484560185185</v>
      </c>
      <c r="B36" s="10">
        <v>0.1</v>
      </c>
      <c r="C36" s="13">
        <v>1</v>
      </c>
      <c r="D36" s="10">
        <f t="shared" si="2"/>
        <v>0.1</v>
      </c>
    </row>
    <row r="37" spans="1:4" x14ac:dyDescent="0.25">
      <c r="A37" s="8">
        <v>42890.484560185185</v>
      </c>
      <c r="B37" s="10">
        <v>0.05</v>
      </c>
      <c r="C37" s="13">
        <v>2</v>
      </c>
      <c r="D37" s="10">
        <f t="shared" si="2"/>
        <v>0.1</v>
      </c>
    </row>
    <row r="38" spans="1:4" x14ac:dyDescent="0.25">
      <c r="A38" s="8">
        <v>42890.484560185185</v>
      </c>
      <c r="B38" s="11"/>
      <c r="C38" s="13"/>
      <c r="D38" s="11">
        <f>SUBTOTAL(109,Table1[value])</f>
        <v>720.9</v>
      </c>
    </row>
    <row r="39" spans="1:4" x14ac:dyDescent="0.25">
      <c r="A39" s="8">
        <v>42890.484560185185</v>
      </c>
      <c r="B39" s="10" t="s">
        <v>0</v>
      </c>
      <c r="C39" s="12" t="s">
        <v>1</v>
      </c>
      <c r="D39" s="10" t="s">
        <v>2</v>
      </c>
    </row>
    <row r="40" spans="1:4" x14ac:dyDescent="0.25">
      <c r="A40" s="8">
        <v>42890.486111111109</v>
      </c>
      <c r="B40" s="10">
        <v>100</v>
      </c>
      <c r="C40" s="13">
        <v>1</v>
      </c>
      <c r="D40" s="10">
        <f>C40*B40</f>
        <v>100</v>
      </c>
    </row>
    <row r="41" spans="1:4" x14ac:dyDescent="0.25">
      <c r="A41" s="8">
        <v>42890.486111111109</v>
      </c>
      <c r="B41" s="10">
        <v>50</v>
      </c>
      <c r="C41" s="13">
        <v>2</v>
      </c>
      <c r="D41" s="10">
        <f t="shared" ref="D41:D50" si="3">C41*B41</f>
        <v>100</v>
      </c>
    </row>
    <row r="42" spans="1:4" x14ac:dyDescent="0.25">
      <c r="A42" s="8">
        <v>42890.486111111109</v>
      </c>
      <c r="B42" s="10">
        <v>20</v>
      </c>
      <c r="C42" s="13">
        <v>3</v>
      </c>
      <c r="D42" s="10">
        <f t="shared" si="3"/>
        <v>60</v>
      </c>
    </row>
    <row r="43" spans="1:4" x14ac:dyDescent="0.25">
      <c r="A43" s="8">
        <v>42890.486111111109</v>
      </c>
      <c r="B43" s="10">
        <v>10</v>
      </c>
      <c r="C43" s="13">
        <v>4</v>
      </c>
      <c r="D43" s="10">
        <f t="shared" si="3"/>
        <v>40</v>
      </c>
    </row>
    <row r="44" spans="1:4" x14ac:dyDescent="0.25">
      <c r="A44" s="8">
        <v>42890.486111111109</v>
      </c>
      <c r="B44" s="10">
        <v>5</v>
      </c>
      <c r="C44" s="13">
        <v>5</v>
      </c>
      <c r="D44" s="10">
        <f t="shared" si="3"/>
        <v>25</v>
      </c>
    </row>
    <row r="45" spans="1:4" x14ac:dyDescent="0.25">
      <c r="A45" s="8">
        <v>42890.486111111109</v>
      </c>
      <c r="B45" s="10">
        <v>2</v>
      </c>
      <c r="C45" s="13">
        <v>6</v>
      </c>
      <c r="D45" s="10">
        <f t="shared" si="3"/>
        <v>12</v>
      </c>
    </row>
    <row r="46" spans="1:4" x14ac:dyDescent="0.25">
      <c r="A46" s="8">
        <v>42890.486111111109</v>
      </c>
      <c r="B46" s="10">
        <v>1</v>
      </c>
      <c r="C46" s="13">
        <v>7</v>
      </c>
      <c r="D46" s="10">
        <f t="shared" si="3"/>
        <v>7</v>
      </c>
    </row>
    <row r="47" spans="1:4" x14ac:dyDescent="0.25">
      <c r="A47" s="8">
        <v>42890.486111111109</v>
      </c>
      <c r="B47" s="10">
        <v>0.5</v>
      </c>
      <c r="C47" s="13">
        <v>8</v>
      </c>
      <c r="D47" s="10">
        <f t="shared" si="3"/>
        <v>4</v>
      </c>
    </row>
    <row r="48" spans="1:4" x14ac:dyDescent="0.25">
      <c r="A48" s="8">
        <v>42890.486111111109</v>
      </c>
      <c r="B48" s="10">
        <v>0.2</v>
      </c>
      <c r="C48" s="13">
        <v>9</v>
      </c>
      <c r="D48" s="10">
        <f t="shared" si="3"/>
        <v>1.8</v>
      </c>
    </row>
    <row r="49" spans="1:4" x14ac:dyDescent="0.25">
      <c r="A49" s="8">
        <v>42890.486111111109</v>
      </c>
      <c r="B49" s="10">
        <v>0.1</v>
      </c>
      <c r="C49" s="13">
        <v>1</v>
      </c>
      <c r="D49" s="10">
        <f t="shared" si="3"/>
        <v>0.1</v>
      </c>
    </row>
    <row r="50" spans="1:4" x14ac:dyDescent="0.25">
      <c r="A50" s="8">
        <v>42890.486111111109</v>
      </c>
      <c r="B50" s="10">
        <v>0.05</v>
      </c>
      <c r="C50" s="13">
        <v>2</v>
      </c>
      <c r="D50" s="10">
        <f t="shared" si="3"/>
        <v>0.1</v>
      </c>
    </row>
    <row r="51" spans="1:4" x14ac:dyDescent="0.25">
      <c r="A51" s="8">
        <v>42890.486111111109</v>
      </c>
      <c r="B51" s="11"/>
      <c r="C51" s="13"/>
      <c r="D51" s="11">
        <f>SUBTOTAL(109,Table18[value])</f>
        <v>350.00000000000006</v>
      </c>
    </row>
    <row r="52" spans="1:4" x14ac:dyDescent="0.25">
      <c r="A52" s="8">
        <v>42890.486111111109</v>
      </c>
      <c r="B52" s="10" t="s">
        <v>0</v>
      </c>
      <c r="C52" s="12" t="s">
        <v>1</v>
      </c>
      <c r="D52" s="10" t="s">
        <v>2</v>
      </c>
    </row>
    <row r="53" spans="1:4" x14ac:dyDescent="0.25">
      <c r="A53" s="8">
        <v>42890.486724537041</v>
      </c>
      <c r="B53" s="10">
        <v>100</v>
      </c>
      <c r="C53" s="13">
        <v>1</v>
      </c>
      <c r="D53" s="10">
        <f>C53*B53</f>
        <v>100</v>
      </c>
    </row>
    <row r="54" spans="1:4" x14ac:dyDescent="0.25">
      <c r="A54" s="8">
        <v>42890.486724537041</v>
      </c>
      <c r="B54" s="10">
        <v>50</v>
      </c>
      <c r="C54" s="13">
        <v>2</v>
      </c>
      <c r="D54" s="10">
        <f t="shared" ref="D54:D63" si="4">C54*B54</f>
        <v>100</v>
      </c>
    </row>
    <row r="55" spans="1:4" x14ac:dyDescent="0.25">
      <c r="A55" s="8">
        <v>42890.486724537041</v>
      </c>
      <c r="B55" s="10">
        <v>20</v>
      </c>
      <c r="C55" s="13">
        <v>3</v>
      </c>
      <c r="D55" s="10">
        <f t="shared" si="4"/>
        <v>60</v>
      </c>
    </row>
    <row r="56" spans="1:4" x14ac:dyDescent="0.25">
      <c r="A56" s="8">
        <v>42890.486724537041</v>
      </c>
      <c r="B56" s="10">
        <v>10</v>
      </c>
      <c r="C56" s="13">
        <v>4</v>
      </c>
      <c r="D56" s="10">
        <f t="shared" si="4"/>
        <v>40</v>
      </c>
    </row>
    <row r="57" spans="1:4" x14ac:dyDescent="0.25">
      <c r="A57" s="8">
        <v>42890.486724537041</v>
      </c>
      <c r="B57" s="10">
        <v>5</v>
      </c>
      <c r="C57" s="13">
        <v>5</v>
      </c>
      <c r="D57" s="10">
        <f t="shared" si="4"/>
        <v>25</v>
      </c>
    </row>
    <row r="58" spans="1:4" x14ac:dyDescent="0.25">
      <c r="A58" s="8">
        <v>42890.486724537041</v>
      </c>
      <c r="B58" s="10">
        <v>2</v>
      </c>
      <c r="C58" s="13">
        <v>6</v>
      </c>
      <c r="D58" s="10">
        <f t="shared" si="4"/>
        <v>12</v>
      </c>
    </row>
    <row r="59" spans="1:4" x14ac:dyDescent="0.25">
      <c r="A59" s="8">
        <v>42890.486724537041</v>
      </c>
      <c r="B59" s="10">
        <v>1</v>
      </c>
      <c r="C59" s="13">
        <v>7</v>
      </c>
      <c r="D59" s="10">
        <f t="shared" si="4"/>
        <v>7</v>
      </c>
    </row>
    <row r="60" spans="1:4" x14ac:dyDescent="0.25">
      <c r="A60" s="8">
        <v>42890.486724537041</v>
      </c>
      <c r="B60" s="10">
        <v>0.5</v>
      </c>
      <c r="C60" s="13">
        <v>8</v>
      </c>
      <c r="D60" s="10">
        <f t="shared" si="4"/>
        <v>4</v>
      </c>
    </row>
    <row r="61" spans="1:4" x14ac:dyDescent="0.25">
      <c r="A61" s="8">
        <v>42890.486724537041</v>
      </c>
      <c r="B61" s="10">
        <v>0.2</v>
      </c>
      <c r="C61" s="13">
        <v>9</v>
      </c>
      <c r="D61" s="10">
        <f t="shared" si="4"/>
        <v>1.8</v>
      </c>
    </row>
    <row r="62" spans="1:4" x14ac:dyDescent="0.25">
      <c r="A62" s="8">
        <v>42890.486724537041</v>
      </c>
      <c r="B62" s="10">
        <v>0.1</v>
      </c>
      <c r="C62" s="13">
        <v>1</v>
      </c>
      <c r="D62" s="10">
        <f t="shared" si="4"/>
        <v>0.1</v>
      </c>
    </row>
    <row r="63" spans="1:4" x14ac:dyDescent="0.25">
      <c r="A63" s="8">
        <v>42890.486724537041</v>
      </c>
      <c r="B63" s="10">
        <v>0.05</v>
      </c>
      <c r="C63" s="13">
        <v>2</v>
      </c>
      <c r="D63" s="10">
        <f t="shared" si="4"/>
        <v>0.1</v>
      </c>
    </row>
    <row r="64" spans="1:4" x14ac:dyDescent="0.25">
      <c r="A64" s="8">
        <v>42890.486724537041</v>
      </c>
      <c r="B64" s="11"/>
      <c r="C64" s="13"/>
      <c r="D64" s="11">
        <f>SUBTOTAL(109,Table19[value])</f>
        <v>350.00000000000006</v>
      </c>
    </row>
    <row r="65" spans="1:4" x14ac:dyDescent="0.25">
      <c r="A65" s="8">
        <v>42890.486724537041</v>
      </c>
      <c r="B65" s="10" t="s">
        <v>0</v>
      </c>
      <c r="C65" s="12" t="s">
        <v>1</v>
      </c>
      <c r="D65" s="10" t="s">
        <v>2</v>
      </c>
    </row>
    <row r="66" spans="1:4" x14ac:dyDescent="0.25">
      <c r="A66" s="8">
        <v>42890.486770833333</v>
      </c>
      <c r="B66" s="10">
        <v>100</v>
      </c>
      <c r="C66" s="13">
        <v>1</v>
      </c>
      <c r="D66" s="10">
        <f>C66*B66</f>
        <v>100</v>
      </c>
    </row>
    <row r="67" spans="1:4" x14ac:dyDescent="0.25">
      <c r="A67" s="8">
        <v>42890.486770833333</v>
      </c>
      <c r="B67" s="10">
        <v>50</v>
      </c>
      <c r="C67" s="13">
        <v>2</v>
      </c>
      <c r="D67" s="10">
        <f t="shared" ref="D67:D76" si="5">C67*B67</f>
        <v>100</v>
      </c>
    </row>
    <row r="68" spans="1:4" x14ac:dyDescent="0.25">
      <c r="A68" s="8">
        <v>42890.486770833333</v>
      </c>
      <c r="B68" s="10">
        <v>20</v>
      </c>
      <c r="C68" s="13">
        <v>3</v>
      </c>
      <c r="D68" s="10">
        <f t="shared" si="5"/>
        <v>60</v>
      </c>
    </row>
    <row r="69" spans="1:4" x14ac:dyDescent="0.25">
      <c r="A69" s="8">
        <v>42890.486770833333</v>
      </c>
      <c r="B69" s="10">
        <v>10</v>
      </c>
      <c r="C69" s="13">
        <v>4</v>
      </c>
      <c r="D69" s="10">
        <f t="shared" si="5"/>
        <v>40</v>
      </c>
    </row>
    <row r="70" spans="1:4" x14ac:dyDescent="0.25">
      <c r="A70" s="8">
        <v>42890.486770833333</v>
      </c>
      <c r="B70" s="10">
        <v>5</v>
      </c>
      <c r="C70" s="13">
        <v>5</v>
      </c>
      <c r="D70" s="10">
        <f t="shared" si="5"/>
        <v>25</v>
      </c>
    </row>
    <row r="71" spans="1:4" x14ac:dyDescent="0.25">
      <c r="A71" s="8">
        <v>42890.486770833333</v>
      </c>
      <c r="B71" s="10">
        <v>2</v>
      </c>
      <c r="C71" s="13">
        <v>6</v>
      </c>
      <c r="D71" s="10">
        <f t="shared" si="5"/>
        <v>12</v>
      </c>
    </row>
    <row r="72" spans="1:4" x14ac:dyDescent="0.25">
      <c r="A72" s="8">
        <v>42890.486770833333</v>
      </c>
      <c r="B72" s="10">
        <v>1</v>
      </c>
      <c r="C72" s="13">
        <v>7</v>
      </c>
      <c r="D72" s="10">
        <f t="shared" si="5"/>
        <v>7</v>
      </c>
    </row>
    <row r="73" spans="1:4" x14ac:dyDescent="0.25">
      <c r="A73" s="8">
        <v>42890.486770833333</v>
      </c>
      <c r="B73" s="10">
        <v>0.5</v>
      </c>
      <c r="C73" s="13">
        <v>8</v>
      </c>
      <c r="D73" s="10">
        <f t="shared" si="5"/>
        <v>4</v>
      </c>
    </row>
    <row r="74" spans="1:4" x14ac:dyDescent="0.25">
      <c r="A74" s="8">
        <v>42890.486770833333</v>
      </c>
      <c r="B74" s="10">
        <v>0.2</v>
      </c>
      <c r="C74" s="13">
        <v>9</v>
      </c>
      <c r="D74" s="10">
        <f t="shared" si="5"/>
        <v>1.8</v>
      </c>
    </row>
    <row r="75" spans="1:4" x14ac:dyDescent="0.25">
      <c r="A75" s="8">
        <v>42890.486770833333</v>
      </c>
      <c r="B75" s="10">
        <v>0.1</v>
      </c>
      <c r="C75" s="13">
        <v>1</v>
      </c>
      <c r="D75" s="10">
        <f t="shared" si="5"/>
        <v>0.1</v>
      </c>
    </row>
    <row r="76" spans="1:4" x14ac:dyDescent="0.25">
      <c r="A76" s="8">
        <v>42890.486770833333</v>
      </c>
      <c r="B76" s="10">
        <v>0.05</v>
      </c>
      <c r="C76" s="13">
        <v>2</v>
      </c>
      <c r="D76" s="10">
        <f t="shared" si="5"/>
        <v>0.1</v>
      </c>
    </row>
    <row r="77" spans="1:4" x14ac:dyDescent="0.25">
      <c r="A77" s="8">
        <v>42890.486770833333</v>
      </c>
      <c r="B77" s="11"/>
      <c r="C77" s="13"/>
      <c r="D77" s="11">
        <f>SUBTOTAL(109,Table110[value])</f>
        <v>350.00000000000006</v>
      </c>
    </row>
    <row r="78" spans="1:4" x14ac:dyDescent="0.25">
      <c r="A78" s="8">
        <v>42890.488240740742</v>
      </c>
      <c r="B78" s="10" t="s">
        <v>0</v>
      </c>
      <c r="C78" s="12" t="s">
        <v>1</v>
      </c>
      <c r="D78" s="10" t="s">
        <v>2</v>
      </c>
    </row>
    <row r="79" spans="1:4" x14ac:dyDescent="0.25">
      <c r="A79" s="8">
        <v>42890.488240740742</v>
      </c>
      <c r="B79" s="10">
        <v>100</v>
      </c>
      <c r="C79" s="13">
        <v>1</v>
      </c>
      <c r="D79" s="10">
        <f>C79*B79</f>
        <v>100</v>
      </c>
    </row>
    <row r="80" spans="1:4" x14ac:dyDescent="0.25">
      <c r="A80" s="8">
        <v>42890.488240740742</v>
      </c>
      <c r="B80" s="10">
        <v>50</v>
      </c>
      <c r="C80" s="13">
        <v>2</v>
      </c>
      <c r="D80" s="10">
        <f t="shared" ref="D80:D89" si="6">C80*B80</f>
        <v>100</v>
      </c>
    </row>
    <row r="81" spans="1:4" x14ac:dyDescent="0.25">
      <c r="A81" s="8">
        <v>42890.488240740742</v>
      </c>
      <c r="B81" s="10">
        <v>20</v>
      </c>
      <c r="C81" s="13">
        <v>3</v>
      </c>
      <c r="D81" s="10">
        <f t="shared" si="6"/>
        <v>60</v>
      </c>
    </row>
    <row r="82" spans="1:4" x14ac:dyDescent="0.25">
      <c r="A82" s="8">
        <v>42890.488240740742</v>
      </c>
      <c r="B82" s="10">
        <v>10</v>
      </c>
      <c r="C82" s="13">
        <v>4</v>
      </c>
      <c r="D82" s="10">
        <f t="shared" si="6"/>
        <v>40</v>
      </c>
    </row>
    <row r="83" spans="1:4" x14ac:dyDescent="0.25">
      <c r="A83" s="8">
        <v>42890.488240740742</v>
      </c>
      <c r="B83" s="10">
        <v>5</v>
      </c>
      <c r="C83" s="13">
        <v>5</v>
      </c>
      <c r="D83" s="10">
        <f t="shared" si="6"/>
        <v>25</v>
      </c>
    </row>
    <row r="84" spans="1:4" x14ac:dyDescent="0.25">
      <c r="A84" s="8">
        <v>42890.488240740742</v>
      </c>
      <c r="B84" s="10">
        <v>2</v>
      </c>
      <c r="C84" s="13">
        <v>6</v>
      </c>
      <c r="D84" s="10">
        <f t="shared" si="6"/>
        <v>12</v>
      </c>
    </row>
    <row r="85" spans="1:4" x14ac:dyDescent="0.25">
      <c r="A85" s="8">
        <v>42890.488240740742</v>
      </c>
      <c r="B85" s="10">
        <v>1</v>
      </c>
      <c r="C85" s="13">
        <v>7</v>
      </c>
      <c r="D85" s="10">
        <f t="shared" si="6"/>
        <v>7</v>
      </c>
    </row>
    <row r="86" spans="1:4" x14ac:dyDescent="0.25">
      <c r="A86" s="8">
        <v>42890.488240740742</v>
      </c>
      <c r="B86" s="10">
        <v>0.5</v>
      </c>
      <c r="C86" s="13">
        <v>8</v>
      </c>
      <c r="D86" s="10">
        <f t="shared" si="6"/>
        <v>4</v>
      </c>
    </row>
    <row r="87" spans="1:4" x14ac:dyDescent="0.25">
      <c r="A87" s="8">
        <v>42890.488240740742</v>
      </c>
      <c r="B87" s="10">
        <v>0.2</v>
      </c>
      <c r="C87" s="13">
        <v>9</v>
      </c>
      <c r="D87" s="10">
        <f t="shared" si="6"/>
        <v>1.8</v>
      </c>
    </row>
    <row r="88" spans="1:4" x14ac:dyDescent="0.25">
      <c r="A88" s="8">
        <v>42890.488240740742</v>
      </c>
      <c r="B88" s="10">
        <v>0.1</v>
      </c>
      <c r="C88" s="13">
        <v>1</v>
      </c>
      <c r="D88" s="10">
        <f t="shared" si="6"/>
        <v>0.1</v>
      </c>
    </row>
    <row r="89" spans="1:4" x14ac:dyDescent="0.25">
      <c r="A89" s="8">
        <v>42890.488240740742</v>
      </c>
      <c r="B89" s="10">
        <v>0.05</v>
      </c>
      <c r="C89" s="13">
        <v>2</v>
      </c>
      <c r="D89" s="10">
        <f t="shared" si="6"/>
        <v>0.1</v>
      </c>
    </row>
    <row r="90" spans="1:4" x14ac:dyDescent="0.25">
      <c r="A90" s="8">
        <v>42890.488240740742</v>
      </c>
      <c r="B90" s="11"/>
      <c r="C90" s="13"/>
      <c r="D90" s="11">
        <f>SUBTOTAL(109,Table111[value])</f>
        <v>350.00000000000006</v>
      </c>
    </row>
    <row r="91" spans="1:4" x14ac:dyDescent="0.25">
      <c r="A91" s="8">
        <v>42890.488807870373</v>
      </c>
      <c r="B91" s="10" t="s">
        <v>0</v>
      </c>
      <c r="C91" s="12" t="s">
        <v>1</v>
      </c>
      <c r="D91" s="10" t="s">
        <v>2</v>
      </c>
    </row>
    <row r="92" spans="1:4" x14ac:dyDescent="0.25">
      <c r="A92" s="8">
        <v>42890.488807870373</v>
      </c>
      <c r="B92" s="10">
        <v>100</v>
      </c>
      <c r="C92" s="13">
        <v>3</v>
      </c>
      <c r="D92" s="10">
        <f>C92*B92</f>
        <v>300</v>
      </c>
    </row>
    <row r="93" spans="1:4" x14ac:dyDescent="0.25">
      <c r="A93" s="8">
        <v>42890.488807870373</v>
      </c>
      <c r="B93" s="10">
        <v>50</v>
      </c>
      <c r="C93" s="13">
        <v>4</v>
      </c>
      <c r="D93" s="10">
        <f t="shared" ref="D93:D102" si="7">C93*B93</f>
        <v>200</v>
      </c>
    </row>
    <row r="94" spans="1:4" x14ac:dyDescent="0.25">
      <c r="A94" s="8">
        <v>42890.488807870373</v>
      </c>
      <c r="B94" s="10">
        <v>20</v>
      </c>
      <c r="C94" s="13">
        <v>5</v>
      </c>
      <c r="D94" s="10">
        <f t="shared" si="7"/>
        <v>100</v>
      </c>
    </row>
    <row r="95" spans="1:4" x14ac:dyDescent="0.25">
      <c r="A95" s="8">
        <v>42890.488807870373</v>
      </c>
      <c r="B95" s="10">
        <v>10</v>
      </c>
      <c r="C95" s="13">
        <v>6</v>
      </c>
      <c r="D95" s="10">
        <f t="shared" si="7"/>
        <v>60</v>
      </c>
    </row>
    <row r="96" spans="1:4" x14ac:dyDescent="0.25">
      <c r="A96" s="8">
        <v>42890.488807870373</v>
      </c>
      <c r="B96" s="10">
        <v>5</v>
      </c>
      <c r="C96" s="13">
        <v>7</v>
      </c>
      <c r="D96" s="10">
        <f t="shared" si="7"/>
        <v>35</v>
      </c>
    </row>
    <row r="97" spans="1:4" x14ac:dyDescent="0.25">
      <c r="A97" s="8">
        <v>42890.488807870373</v>
      </c>
      <c r="B97" s="10">
        <v>2</v>
      </c>
      <c r="C97" s="13">
        <v>8</v>
      </c>
      <c r="D97" s="10">
        <f t="shared" si="7"/>
        <v>16</v>
      </c>
    </row>
    <row r="98" spans="1:4" x14ac:dyDescent="0.25">
      <c r="A98" s="8">
        <v>42890.488807870373</v>
      </c>
      <c r="B98" s="10">
        <v>1</v>
      </c>
      <c r="C98" s="13">
        <v>9</v>
      </c>
      <c r="D98" s="10">
        <f t="shared" si="7"/>
        <v>9</v>
      </c>
    </row>
    <row r="99" spans="1:4" x14ac:dyDescent="0.25">
      <c r="A99" s="8">
        <v>42890.488807870373</v>
      </c>
      <c r="B99" s="10">
        <v>0.5</v>
      </c>
      <c r="C99" s="13">
        <v>0</v>
      </c>
      <c r="D99" s="10">
        <f t="shared" si="7"/>
        <v>0</v>
      </c>
    </row>
    <row r="100" spans="1:4" x14ac:dyDescent="0.25">
      <c r="A100" s="8">
        <v>42890.488807870373</v>
      </c>
      <c r="B100" s="10">
        <v>0.2</v>
      </c>
      <c r="C100" s="13">
        <v>2</v>
      </c>
      <c r="D100" s="10">
        <f t="shared" si="7"/>
        <v>0.4</v>
      </c>
    </row>
    <row r="101" spans="1:4" x14ac:dyDescent="0.25">
      <c r="A101" s="8">
        <v>42890.488807870373</v>
      </c>
      <c r="B101" s="10">
        <v>0.1</v>
      </c>
      <c r="C101" s="13">
        <v>3</v>
      </c>
      <c r="D101" s="10">
        <f t="shared" si="7"/>
        <v>0.30000000000000004</v>
      </c>
    </row>
    <row r="102" spans="1:4" x14ac:dyDescent="0.25">
      <c r="A102" s="8">
        <v>42890.488807870373</v>
      </c>
      <c r="B102" s="10">
        <v>0.05</v>
      </c>
      <c r="C102" s="13">
        <v>4</v>
      </c>
      <c r="D102" s="10">
        <f t="shared" si="7"/>
        <v>0.2</v>
      </c>
    </row>
    <row r="103" spans="1:4" x14ac:dyDescent="0.25">
      <c r="A103" s="8">
        <v>42890.489525462966</v>
      </c>
      <c r="B103" s="14" t="s">
        <v>5</v>
      </c>
      <c r="C103" s="12" t="s">
        <v>1</v>
      </c>
      <c r="D103" s="14" t="s">
        <v>6</v>
      </c>
    </row>
    <row r="104" spans="1:4" x14ac:dyDescent="0.25">
      <c r="A104" s="8">
        <v>42890.489525462966</v>
      </c>
      <c r="B104" s="10">
        <v>100</v>
      </c>
      <c r="C104" s="13">
        <v>3</v>
      </c>
      <c r="D104" s="10">
        <f>C104*B104</f>
        <v>300</v>
      </c>
    </row>
    <row r="105" spans="1:4" x14ac:dyDescent="0.25">
      <c r="A105" s="8">
        <v>42890.489525462966</v>
      </c>
      <c r="B105" s="10">
        <v>50</v>
      </c>
      <c r="C105" s="13">
        <v>4</v>
      </c>
      <c r="D105" s="10">
        <f t="shared" ref="D105:D114" si="8">C105*B105</f>
        <v>200</v>
      </c>
    </row>
    <row r="106" spans="1:4" x14ac:dyDescent="0.25">
      <c r="A106" s="8">
        <v>42890.489525462966</v>
      </c>
      <c r="B106" s="10">
        <v>20</v>
      </c>
      <c r="C106" s="13">
        <v>5</v>
      </c>
      <c r="D106" s="10">
        <f t="shared" si="8"/>
        <v>100</v>
      </c>
    </row>
    <row r="107" spans="1:4" x14ac:dyDescent="0.25">
      <c r="A107" s="8">
        <v>42890.489525462966</v>
      </c>
      <c r="B107" s="10">
        <v>10</v>
      </c>
      <c r="C107" s="13">
        <v>6</v>
      </c>
      <c r="D107" s="10">
        <f t="shared" si="8"/>
        <v>60</v>
      </c>
    </row>
    <row r="108" spans="1:4" x14ac:dyDescent="0.25">
      <c r="A108" s="8">
        <v>42890.489525462966</v>
      </c>
      <c r="B108" s="10">
        <v>5</v>
      </c>
      <c r="C108" s="13">
        <v>7</v>
      </c>
      <c r="D108" s="10">
        <f t="shared" si="8"/>
        <v>35</v>
      </c>
    </row>
    <row r="109" spans="1:4" x14ac:dyDescent="0.25">
      <c r="A109" s="8">
        <v>42890.489525462966</v>
      </c>
      <c r="B109" s="10">
        <v>2</v>
      </c>
      <c r="C109" s="13">
        <v>8</v>
      </c>
      <c r="D109" s="10">
        <f t="shared" si="8"/>
        <v>16</v>
      </c>
    </row>
    <row r="110" spans="1:4" x14ac:dyDescent="0.25">
      <c r="A110" s="8">
        <v>42890.489525462966</v>
      </c>
      <c r="B110" s="10">
        <v>1</v>
      </c>
      <c r="C110" s="13">
        <v>9</v>
      </c>
      <c r="D110" s="10">
        <f t="shared" si="8"/>
        <v>9</v>
      </c>
    </row>
    <row r="111" spans="1:4" x14ac:dyDescent="0.25">
      <c r="A111" s="8">
        <v>42890.489525462966</v>
      </c>
      <c r="B111" s="10">
        <v>0.5</v>
      </c>
      <c r="C111" s="13">
        <v>0</v>
      </c>
      <c r="D111" s="10">
        <f t="shared" si="8"/>
        <v>0</v>
      </c>
    </row>
    <row r="112" spans="1:4" x14ac:dyDescent="0.25">
      <c r="A112" s="8">
        <v>42890.489525462966</v>
      </c>
      <c r="B112" s="10">
        <v>0.2</v>
      </c>
      <c r="C112" s="13">
        <v>2</v>
      </c>
      <c r="D112" s="10">
        <f t="shared" si="8"/>
        <v>0.4</v>
      </c>
    </row>
    <row r="113" spans="1:4" x14ac:dyDescent="0.25">
      <c r="A113" s="8">
        <v>42890.489525462966</v>
      </c>
      <c r="B113" s="10">
        <v>0.1</v>
      </c>
      <c r="C113" s="13">
        <v>3</v>
      </c>
      <c r="D113" s="10">
        <f t="shared" si="8"/>
        <v>0.30000000000000004</v>
      </c>
    </row>
    <row r="114" spans="1:4" x14ac:dyDescent="0.25">
      <c r="A114" s="8">
        <v>42890.489525462966</v>
      </c>
      <c r="B114" s="10">
        <v>0.05</v>
      </c>
      <c r="C114" s="13">
        <v>4</v>
      </c>
      <c r="D114" s="10">
        <f t="shared" si="8"/>
        <v>0.2</v>
      </c>
    </row>
    <row r="115" spans="1:4" x14ac:dyDescent="0.25">
      <c r="A115" s="8">
        <v>42891.393807870372</v>
      </c>
      <c r="B115" s="2" t="s">
        <v>0</v>
      </c>
      <c r="C115" s="4" t="s">
        <v>1</v>
      </c>
      <c r="D115" s="2" t="s">
        <v>2</v>
      </c>
    </row>
    <row r="116" spans="1:4" x14ac:dyDescent="0.25">
      <c r="A116" s="8">
        <v>42891.393807870372</v>
      </c>
      <c r="B116" s="2">
        <v>100</v>
      </c>
      <c r="C116" s="1">
        <v>3</v>
      </c>
      <c r="D116" s="2">
        <f>C116*B116</f>
        <v>300</v>
      </c>
    </row>
    <row r="117" spans="1:4" x14ac:dyDescent="0.25">
      <c r="A117" s="8">
        <v>42891.393807870372</v>
      </c>
      <c r="B117" s="2">
        <v>50</v>
      </c>
      <c r="C117" s="1">
        <v>4</v>
      </c>
      <c r="D117" s="2">
        <f t="shared" ref="D117:D126" si="9">C117*B117</f>
        <v>200</v>
      </c>
    </row>
    <row r="118" spans="1:4" x14ac:dyDescent="0.25">
      <c r="A118" s="8">
        <v>42891.393807870372</v>
      </c>
      <c r="B118" s="2">
        <v>20</v>
      </c>
      <c r="C118" s="1">
        <v>5</v>
      </c>
      <c r="D118" s="2">
        <f t="shared" si="9"/>
        <v>100</v>
      </c>
    </row>
    <row r="119" spans="1:4" x14ac:dyDescent="0.25">
      <c r="A119" s="8">
        <v>42891.393807870372</v>
      </c>
      <c r="B119" s="2">
        <v>10</v>
      </c>
      <c r="C119" s="1">
        <v>6</v>
      </c>
      <c r="D119" s="2">
        <f t="shared" si="9"/>
        <v>60</v>
      </c>
    </row>
    <row r="120" spans="1:4" x14ac:dyDescent="0.25">
      <c r="A120" s="8">
        <v>42891.393807870372</v>
      </c>
      <c r="B120" s="2">
        <v>5</v>
      </c>
      <c r="C120" s="1">
        <v>7</v>
      </c>
      <c r="D120" s="2">
        <f t="shared" si="9"/>
        <v>35</v>
      </c>
    </row>
    <row r="121" spans="1:4" x14ac:dyDescent="0.25">
      <c r="A121" s="8">
        <v>42891.393807870372</v>
      </c>
      <c r="B121" s="2">
        <v>2</v>
      </c>
      <c r="C121" s="1">
        <v>8</v>
      </c>
      <c r="D121" s="2">
        <f t="shared" si="9"/>
        <v>16</v>
      </c>
    </row>
    <row r="122" spans="1:4" x14ac:dyDescent="0.25">
      <c r="A122" s="8">
        <v>42891.393807870372</v>
      </c>
      <c r="B122" s="2">
        <v>1</v>
      </c>
      <c r="C122" s="1">
        <v>9</v>
      </c>
      <c r="D122" s="2">
        <f t="shared" si="9"/>
        <v>9</v>
      </c>
    </row>
    <row r="123" spans="1:4" x14ac:dyDescent="0.25">
      <c r="A123" s="8">
        <v>42891.393807870372</v>
      </c>
      <c r="B123" s="2">
        <v>0.5</v>
      </c>
      <c r="C123" s="1">
        <v>0</v>
      </c>
      <c r="D123" s="2">
        <f t="shared" si="9"/>
        <v>0</v>
      </c>
    </row>
    <row r="124" spans="1:4" x14ac:dyDescent="0.25">
      <c r="A124" s="8">
        <v>42891.393807870372</v>
      </c>
      <c r="B124" s="2">
        <v>0.2</v>
      </c>
      <c r="C124" s="1">
        <v>2</v>
      </c>
      <c r="D124" s="2">
        <f t="shared" si="9"/>
        <v>0.4</v>
      </c>
    </row>
    <row r="125" spans="1:4" x14ac:dyDescent="0.25">
      <c r="A125" s="8">
        <v>42891.393807870372</v>
      </c>
      <c r="B125" s="2">
        <v>0.1</v>
      </c>
      <c r="C125" s="1">
        <v>3</v>
      </c>
      <c r="D125" s="2">
        <f t="shared" si="9"/>
        <v>0.30000000000000004</v>
      </c>
    </row>
    <row r="126" spans="1:4" x14ac:dyDescent="0.25">
      <c r="A126" s="8">
        <v>42891.393807870372</v>
      </c>
      <c r="B126" s="2">
        <v>0.05</v>
      </c>
      <c r="C126" s="1">
        <v>4</v>
      </c>
      <c r="D126" s="2">
        <f t="shared" si="9"/>
        <v>0.2</v>
      </c>
    </row>
    <row r="127" spans="1:4" x14ac:dyDescent="0.25">
      <c r="A127" s="8">
        <v>42891.393807870372</v>
      </c>
      <c r="B127" s="3"/>
      <c r="C127" s="1"/>
      <c r="D127" s="3">
        <f>SUBTOTAL(109,Table113[value])</f>
        <v>720.9</v>
      </c>
    </row>
  </sheetData>
  <dataValidations count="1">
    <dataValidation type="whole" allowBlank="1" showInputMessage="1" showErrorMessage="1" sqref="C2:C12 C15:C25 C27:C37 C40:C50 C53:C63 C66:C76 C79:C89 C92:C102 C104:C114 C116:C126">
      <formula1>0</formula1>
      <formula2>12345678</formula2>
    </dataValidation>
  </dataValidation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9"/>
  <sheetViews>
    <sheetView topLeftCell="A64" workbookViewId="0">
      <selection activeCell="A50" sqref="A1:A1048576"/>
    </sheetView>
  </sheetViews>
  <sheetFormatPr defaultRowHeight="15" x14ac:dyDescent="0.25"/>
  <cols>
    <col min="1" max="1" width="18.5703125" style="6" bestFit="1" customWidth="1"/>
    <col min="2" max="2" width="9.28515625" style="5" customWidth="1"/>
    <col min="4" max="4" width="12.140625" style="5" customWidth="1"/>
    <col min="5" max="5" width="14.140625" style="5" customWidth="1"/>
  </cols>
  <sheetData>
    <row r="1" spans="1:5" x14ac:dyDescent="0.25">
      <c r="A1" s="6" t="s">
        <v>3</v>
      </c>
      <c r="B1" s="5" t="s">
        <v>0</v>
      </c>
      <c r="C1" t="s">
        <v>1</v>
      </c>
      <c r="D1" s="5" t="s">
        <v>2</v>
      </c>
      <c r="E1" s="5" t="s">
        <v>4</v>
      </c>
    </row>
    <row r="2" spans="1:5" x14ac:dyDescent="0.25">
      <c r="A2" s="6">
        <v>42879.922337962962</v>
      </c>
      <c r="B2" s="5">
        <v>1.3</v>
      </c>
      <c r="C2">
        <v>4</v>
      </c>
      <c r="D2" s="5">
        <v>5.2</v>
      </c>
    </row>
    <row r="3" spans="1:5" x14ac:dyDescent="0.25">
      <c r="A3" s="6">
        <v>42880.81040509259</v>
      </c>
      <c r="B3" s="5">
        <v>1.3</v>
      </c>
      <c r="C3">
        <v>4</v>
      </c>
      <c r="D3" s="5">
        <v>0</v>
      </c>
    </row>
    <row r="4" spans="1:5" x14ac:dyDescent="0.25">
      <c r="A4" s="6">
        <v>42880.835682870369</v>
      </c>
      <c r="B4" s="5">
        <v>0</v>
      </c>
      <c r="C4">
        <v>0</v>
      </c>
      <c r="D4" s="5">
        <v>0</v>
      </c>
    </row>
    <row r="5" spans="1:5" x14ac:dyDescent="0.25">
      <c r="A5" s="6">
        <v>42880.858020833337</v>
      </c>
      <c r="B5" s="5">
        <v>1.3</v>
      </c>
      <c r="C5">
        <v>4</v>
      </c>
      <c r="D5" s="5">
        <v>5.2</v>
      </c>
      <c r="E5" s="5">
        <v>5.23</v>
      </c>
    </row>
    <row r="6" spans="1:5" x14ac:dyDescent="0.25">
      <c r="A6" s="6">
        <v>42880.858946759261</v>
      </c>
      <c r="B6" s="5">
        <v>100</v>
      </c>
    </row>
    <row r="7" spans="1:5" x14ac:dyDescent="0.25">
      <c r="A7" s="6">
        <v>42880.858946759261</v>
      </c>
      <c r="B7" s="5">
        <v>50</v>
      </c>
    </row>
    <row r="8" spans="1:5" x14ac:dyDescent="0.25">
      <c r="A8" s="6">
        <v>42880.858946759261</v>
      </c>
      <c r="B8" s="5">
        <v>20</v>
      </c>
    </row>
    <row r="9" spans="1:5" x14ac:dyDescent="0.25">
      <c r="A9" s="6">
        <v>42880.858946759261</v>
      </c>
      <c r="B9" s="5">
        <v>10</v>
      </c>
    </row>
    <row r="10" spans="1:5" x14ac:dyDescent="0.25">
      <c r="A10" s="6">
        <v>42880.858946759261</v>
      </c>
      <c r="B10" s="5">
        <v>5</v>
      </c>
    </row>
    <row r="11" spans="1:5" x14ac:dyDescent="0.25">
      <c r="A11" s="6">
        <v>42880.858946759261</v>
      </c>
      <c r="B11" s="5">
        <v>2</v>
      </c>
    </row>
    <row r="12" spans="1:5" x14ac:dyDescent="0.25">
      <c r="A12" s="6">
        <v>42880.858946759261</v>
      </c>
      <c r="B12" s="5">
        <v>1</v>
      </c>
    </row>
    <row r="13" spans="1:5" x14ac:dyDescent="0.25">
      <c r="A13" s="6">
        <v>42880.871828703705</v>
      </c>
      <c r="B13" s="5">
        <v>0.05</v>
      </c>
      <c r="C13">
        <v>5</v>
      </c>
      <c r="D13" s="5">
        <v>0.25</v>
      </c>
      <c r="E13" s="5">
        <v>537.05000000000007</v>
      </c>
    </row>
    <row r="14" spans="1:5" x14ac:dyDescent="0.25">
      <c r="A14" s="6">
        <v>42880.858946759261</v>
      </c>
      <c r="B14" s="5">
        <v>0.2</v>
      </c>
    </row>
    <row r="15" spans="1:5" x14ac:dyDescent="0.25">
      <c r="A15" s="6">
        <v>42880.858946759261</v>
      </c>
      <c r="B15" s="5">
        <v>0.1</v>
      </c>
    </row>
    <row r="16" spans="1:5" x14ac:dyDescent="0.25">
      <c r="A16" s="6">
        <v>42880.858946759261</v>
      </c>
      <c r="B16" s="5">
        <v>0.05</v>
      </c>
      <c r="C16">
        <v>3</v>
      </c>
      <c r="D16" s="5">
        <v>0.15000000000000002</v>
      </c>
      <c r="E16" s="5">
        <v>1033.6500000000001</v>
      </c>
    </row>
    <row r="17" spans="1:5" x14ac:dyDescent="0.25">
      <c r="A17" s="6">
        <v>42880.864212962966</v>
      </c>
      <c r="B17" s="5">
        <v>1.3</v>
      </c>
      <c r="C17">
        <v>4</v>
      </c>
      <c r="D17" s="5">
        <v>5.2</v>
      </c>
      <c r="E17" s="5">
        <v>5.23</v>
      </c>
    </row>
    <row r="18" spans="1:5" x14ac:dyDescent="0.25">
      <c r="A18" s="6">
        <v>42880.864259259259</v>
      </c>
      <c r="B18" s="5">
        <v>1.3</v>
      </c>
      <c r="C18">
        <v>4</v>
      </c>
      <c r="D18" s="5">
        <v>5.2</v>
      </c>
      <c r="E18" s="5">
        <v>5.23</v>
      </c>
    </row>
    <row r="19" spans="1:5" x14ac:dyDescent="0.25">
      <c r="A19" s="6">
        <v>42880.864293981482</v>
      </c>
      <c r="B19" s="5">
        <v>1.3</v>
      </c>
      <c r="C19">
        <v>4</v>
      </c>
      <c r="D19" s="5">
        <v>5.2</v>
      </c>
      <c r="E19" s="5">
        <v>5.23</v>
      </c>
    </row>
    <row r="20" spans="1:5" x14ac:dyDescent="0.25">
      <c r="A20" s="6">
        <v>42880.864293981482</v>
      </c>
      <c r="B20" s="5">
        <v>1.3</v>
      </c>
      <c r="C20">
        <v>4</v>
      </c>
      <c r="D20" s="5">
        <v>5.2</v>
      </c>
      <c r="E20" s="5">
        <v>5.23</v>
      </c>
    </row>
    <row r="21" spans="1:5" x14ac:dyDescent="0.25">
      <c r="A21" s="6">
        <v>42880.864537037036</v>
      </c>
      <c r="B21" s="5">
        <v>100</v>
      </c>
      <c r="C21">
        <v>2</v>
      </c>
      <c r="D21" s="5">
        <v>200</v>
      </c>
      <c r="E21" s="5">
        <v>537.05000000000007</v>
      </c>
    </row>
    <row r="22" spans="1:5" x14ac:dyDescent="0.25">
      <c r="A22" s="6">
        <v>42880.864560185182</v>
      </c>
      <c r="B22" s="5">
        <v>50</v>
      </c>
      <c r="C22">
        <v>3</v>
      </c>
      <c r="D22" s="5">
        <v>150</v>
      </c>
      <c r="E22" s="5">
        <v>537.05000000000007</v>
      </c>
    </row>
    <row r="23" spans="1:5" x14ac:dyDescent="0.25">
      <c r="A23" s="6">
        <v>42880.864560185182</v>
      </c>
      <c r="B23" s="5">
        <v>20</v>
      </c>
      <c r="C23">
        <v>4</v>
      </c>
      <c r="D23" s="5">
        <v>80</v>
      </c>
      <c r="E23" s="5">
        <v>537.05000000000007</v>
      </c>
    </row>
    <row r="24" spans="1:5" x14ac:dyDescent="0.25">
      <c r="A24" s="6">
        <v>42880.864571759259</v>
      </c>
      <c r="B24" s="5">
        <v>10</v>
      </c>
      <c r="C24">
        <v>5</v>
      </c>
      <c r="D24" s="5">
        <v>50</v>
      </c>
      <c r="E24" s="5">
        <v>537.05000000000007</v>
      </c>
    </row>
    <row r="25" spans="1:5" x14ac:dyDescent="0.25">
      <c r="A25" s="6">
        <v>42880.864571759259</v>
      </c>
      <c r="B25" s="5">
        <v>5</v>
      </c>
      <c r="C25">
        <v>6</v>
      </c>
      <c r="D25" s="5">
        <v>30</v>
      </c>
      <c r="E25" s="5">
        <v>537.05000000000007</v>
      </c>
    </row>
    <row r="26" spans="1:5" x14ac:dyDescent="0.25">
      <c r="A26" s="6">
        <v>42880.864571759259</v>
      </c>
      <c r="B26" s="5">
        <v>2</v>
      </c>
      <c r="C26">
        <v>7</v>
      </c>
      <c r="D26" s="5">
        <v>14</v>
      </c>
      <c r="E26" s="5">
        <v>537.05000000000007</v>
      </c>
    </row>
    <row r="27" spans="1:5" x14ac:dyDescent="0.25">
      <c r="A27" s="6">
        <v>42880.864571759259</v>
      </c>
      <c r="B27" s="5">
        <v>1</v>
      </c>
      <c r="C27">
        <v>8</v>
      </c>
      <c r="D27" s="5">
        <v>8</v>
      </c>
      <c r="E27" s="5">
        <v>537.05000000000007</v>
      </c>
    </row>
    <row r="28" spans="1:5" x14ac:dyDescent="0.25">
      <c r="A28" s="6">
        <v>42880.864583333336</v>
      </c>
      <c r="B28" s="5">
        <v>0.5</v>
      </c>
      <c r="C28">
        <v>9</v>
      </c>
      <c r="D28" s="5">
        <v>4.5</v>
      </c>
      <c r="E28" s="5">
        <v>537.05000000000007</v>
      </c>
    </row>
    <row r="29" spans="1:5" x14ac:dyDescent="0.25">
      <c r="A29" s="6">
        <v>42880.864583333336</v>
      </c>
      <c r="B29" s="5">
        <v>0.2</v>
      </c>
      <c r="C29">
        <v>1</v>
      </c>
      <c r="D29" s="5">
        <v>0.2</v>
      </c>
      <c r="E29" s="5">
        <v>537.05000000000007</v>
      </c>
    </row>
    <row r="30" spans="1:5" x14ac:dyDescent="0.25">
      <c r="A30" s="6">
        <v>42880.864594907405</v>
      </c>
      <c r="B30" s="5">
        <v>0.1</v>
      </c>
      <c r="C30">
        <v>2</v>
      </c>
      <c r="D30" s="5">
        <v>0.2</v>
      </c>
      <c r="E30" s="5">
        <v>537.05000000000007</v>
      </c>
    </row>
    <row r="31" spans="1:5" x14ac:dyDescent="0.25">
      <c r="A31" s="6">
        <v>42880.864606481482</v>
      </c>
      <c r="B31" s="5">
        <v>0.05</v>
      </c>
      <c r="C31">
        <v>3</v>
      </c>
      <c r="D31" s="5">
        <v>0.15000000000000002</v>
      </c>
      <c r="E31" s="5">
        <v>537.05000000000007</v>
      </c>
    </row>
    <row r="32" spans="1:5" x14ac:dyDescent="0.25">
      <c r="A32" s="6">
        <v>42880.870787037034</v>
      </c>
      <c r="B32" s="5">
        <v>100</v>
      </c>
      <c r="C32">
        <v>2</v>
      </c>
      <c r="D32" s="5">
        <v>200</v>
      </c>
      <c r="E32" s="5">
        <v>537.05000000000007</v>
      </c>
    </row>
    <row r="33" spans="1:5" x14ac:dyDescent="0.25">
      <c r="A33" s="6">
        <v>42880.870821759258</v>
      </c>
      <c r="B33" s="5">
        <v>50</v>
      </c>
      <c r="C33">
        <v>3</v>
      </c>
      <c r="D33" s="5">
        <v>150</v>
      </c>
      <c r="E33" s="5">
        <v>537.05000000000007</v>
      </c>
    </row>
    <row r="34" spans="1:5" x14ac:dyDescent="0.25">
      <c r="A34" s="6">
        <v>42880.870833333334</v>
      </c>
      <c r="B34" s="5">
        <v>20</v>
      </c>
      <c r="C34">
        <v>4</v>
      </c>
      <c r="D34" s="5">
        <v>80</v>
      </c>
      <c r="E34" s="5">
        <v>537.05000000000007</v>
      </c>
    </row>
    <row r="35" spans="1:5" x14ac:dyDescent="0.25">
      <c r="A35" s="6">
        <v>42880.870833333334</v>
      </c>
      <c r="B35" s="5">
        <v>10</v>
      </c>
      <c r="C35">
        <v>5</v>
      </c>
      <c r="D35" s="5">
        <v>50</v>
      </c>
      <c r="E35" s="5">
        <v>537.05000000000007</v>
      </c>
    </row>
    <row r="36" spans="1:5" x14ac:dyDescent="0.25">
      <c r="A36" s="6">
        <v>42880.870833333334</v>
      </c>
      <c r="B36" s="5">
        <v>5</v>
      </c>
      <c r="C36">
        <v>6</v>
      </c>
      <c r="D36" s="5">
        <v>30</v>
      </c>
      <c r="E36" s="5">
        <v>537.05000000000007</v>
      </c>
    </row>
    <row r="37" spans="1:5" x14ac:dyDescent="0.25">
      <c r="A37" s="6">
        <v>42880.870844907404</v>
      </c>
      <c r="B37" s="5">
        <v>2</v>
      </c>
      <c r="C37">
        <v>7</v>
      </c>
      <c r="D37" s="5">
        <v>14</v>
      </c>
      <c r="E37" s="5">
        <v>537.05000000000007</v>
      </c>
    </row>
    <row r="38" spans="1:5" x14ac:dyDescent="0.25">
      <c r="A38" s="6">
        <v>42880.870844907404</v>
      </c>
      <c r="B38" s="5">
        <v>1</v>
      </c>
      <c r="C38">
        <v>8</v>
      </c>
      <c r="D38" s="5">
        <v>8</v>
      </c>
      <c r="E38" s="5">
        <v>537.05000000000007</v>
      </c>
    </row>
    <row r="39" spans="1:5" x14ac:dyDescent="0.25">
      <c r="A39" s="6">
        <v>42880.870856481481</v>
      </c>
      <c r="B39" s="5">
        <v>0.5</v>
      </c>
      <c r="C39">
        <v>9</v>
      </c>
      <c r="D39" s="5">
        <v>4.5</v>
      </c>
      <c r="E39" s="5">
        <v>537.05000000000007</v>
      </c>
    </row>
    <row r="40" spans="1:5" x14ac:dyDescent="0.25">
      <c r="A40" s="6">
        <v>42880.870856481481</v>
      </c>
      <c r="B40" s="5">
        <v>0.2</v>
      </c>
      <c r="C40">
        <v>1</v>
      </c>
      <c r="D40" s="5">
        <v>0.2</v>
      </c>
      <c r="E40" s="5">
        <v>537.05000000000007</v>
      </c>
    </row>
    <row r="41" spans="1:5" x14ac:dyDescent="0.25">
      <c r="A41" s="6">
        <v>42880.870868055557</v>
      </c>
      <c r="B41" s="5">
        <v>0.1</v>
      </c>
      <c r="C41">
        <v>2</v>
      </c>
      <c r="D41" s="5">
        <v>0.2</v>
      </c>
      <c r="E41" s="5">
        <v>537.05000000000007</v>
      </c>
    </row>
    <row r="42" spans="1:5" x14ac:dyDescent="0.25">
      <c r="A42" s="6">
        <v>42880.870868055557</v>
      </c>
      <c r="B42" s="5">
        <v>0.05</v>
      </c>
      <c r="C42">
        <v>3</v>
      </c>
      <c r="D42" s="5">
        <v>0.15000000000000002</v>
      </c>
      <c r="E42" s="5">
        <v>537.05000000000007</v>
      </c>
    </row>
    <row r="43" spans="1:5" x14ac:dyDescent="0.25">
      <c r="A43" s="6">
        <v>42880.871782407405</v>
      </c>
      <c r="B43" s="5">
        <v>100</v>
      </c>
      <c r="C43">
        <v>435</v>
      </c>
      <c r="D43" s="5">
        <v>43500</v>
      </c>
      <c r="E43" s="5">
        <v>135201.65</v>
      </c>
    </row>
    <row r="44" spans="1:5" x14ac:dyDescent="0.25">
      <c r="A44" s="6">
        <v>42880.871805555558</v>
      </c>
      <c r="B44" s="5">
        <v>50</v>
      </c>
      <c r="C44">
        <v>2</v>
      </c>
      <c r="D44" s="5">
        <v>100</v>
      </c>
      <c r="E44" s="5">
        <v>135201.65</v>
      </c>
    </row>
    <row r="45" spans="1:5" x14ac:dyDescent="0.25">
      <c r="A45" s="6">
        <v>42880.871805555558</v>
      </c>
      <c r="B45" s="5">
        <v>20</v>
      </c>
      <c r="C45">
        <v>4534</v>
      </c>
      <c r="D45" s="5">
        <v>90680</v>
      </c>
      <c r="E45" s="5">
        <v>135201.65</v>
      </c>
    </row>
    <row r="46" spans="1:5" x14ac:dyDescent="0.25">
      <c r="A46" s="6">
        <v>42880.871805555558</v>
      </c>
      <c r="B46" s="5">
        <v>10</v>
      </c>
      <c r="C46">
        <v>65</v>
      </c>
      <c r="D46" s="5">
        <v>650</v>
      </c>
      <c r="E46" s="5">
        <v>135201.65</v>
      </c>
    </row>
    <row r="47" spans="1:5" x14ac:dyDescent="0.25">
      <c r="A47" s="6">
        <v>42880.871805555558</v>
      </c>
      <c r="B47" s="5">
        <v>5</v>
      </c>
      <c r="C47">
        <v>7</v>
      </c>
      <c r="D47" s="5">
        <v>35</v>
      </c>
      <c r="E47" s="5">
        <v>135201.65</v>
      </c>
    </row>
    <row r="48" spans="1:5" x14ac:dyDescent="0.25">
      <c r="A48" s="6">
        <v>42880.871817129628</v>
      </c>
      <c r="B48" s="5">
        <v>2</v>
      </c>
      <c r="C48">
        <v>57</v>
      </c>
      <c r="D48" s="5">
        <v>114</v>
      </c>
      <c r="E48" s="5">
        <v>135201.65</v>
      </c>
    </row>
    <row r="49" spans="1:5" x14ac:dyDescent="0.25">
      <c r="A49" s="6">
        <v>42880.871817129628</v>
      </c>
      <c r="B49" s="5">
        <v>1</v>
      </c>
      <c r="C49">
        <v>77</v>
      </c>
      <c r="D49" s="5">
        <v>77</v>
      </c>
      <c r="E49" s="5">
        <v>135201.65</v>
      </c>
    </row>
    <row r="50" spans="1:5" x14ac:dyDescent="0.25">
      <c r="A50" s="6">
        <v>42880.871817129628</v>
      </c>
      <c r="B50" s="5">
        <v>0.5</v>
      </c>
      <c r="C50">
        <v>89</v>
      </c>
      <c r="D50" s="5">
        <v>44.5</v>
      </c>
      <c r="E50" s="5">
        <v>135201.65</v>
      </c>
    </row>
    <row r="51" spans="1:5" x14ac:dyDescent="0.25">
      <c r="A51" s="6">
        <v>42880.871828703705</v>
      </c>
      <c r="B51" s="5">
        <v>0.2</v>
      </c>
      <c r="C51">
        <v>3</v>
      </c>
      <c r="D51" s="5">
        <v>0.60000000000000009</v>
      </c>
      <c r="E51" s="5">
        <v>135201.65</v>
      </c>
    </row>
    <row r="52" spans="1:5" x14ac:dyDescent="0.25">
      <c r="A52" s="6">
        <v>42880.871828703705</v>
      </c>
      <c r="B52" s="5">
        <v>0.1</v>
      </c>
      <c r="C52">
        <v>3</v>
      </c>
      <c r="D52" s="5">
        <v>0.30000000000000004</v>
      </c>
      <c r="E52" s="5">
        <v>135201.65</v>
      </c>
    </row>
    <row r="53" spans="1:5" x14ac:dyDescent="0.25">
      <c r="A53" s="6">
        <v>42880.871828703705</v>
      </c>
      <c r="B53" s="5">
        <v>0.05</v>
      </c>
      <c r="C53">
        <v>5</v>
      </c>
      <c r="D53" s="5">
        <v>0.25</v>
      </c>
      <c r="E53" s="5">
        <v>135201.65</v>
      </c>
    </row>
    <row r="54" spans="1:5" x14ac:dyDescent="0.25">
      <c r="A54" s="6">
        <v>42881</v>
      </c>
      <c r="B54" s="2" t="s">
        <v>0</v>
      </c>
      <c r="C54" s="4" t="s">
        <v>1</v>
      </c>
      <c r="D54" s="2" t="s">
        <v>2</v>
      </c>
    </row>
    <row r="55" spans="1:5" x14ac:dyDescent="0.25">
      <c r="A55" s="6">
        <v>42881</v>
      </c>
      <c r="B55" s="2">
        <v>100</v>
      </c>
      <c r="C55" s="1">
        <v>1</v>
      </c>
      <c r="D55" s="2">
        <f>C55*B55</f>
        <v>100</v>
      </c>
    </row>
    <row r="56" spans="1:5" x14ac:dyDescent="0.25">
      <c r="A56" s="6">
        <v>42881</v>
      </c>
      <c r="B56" s="2">
        <v>50</v>
      </c>
      <c r="C56" s="1">
        <v>2</v>
      </c>
      <c r="D56" s="2">
        <f t="shared" ref="D56:D65" si="0">C56*B56</f>
        <v>100</v>
      </c>
    </row>
    <row r="57" spans="1:5" x14ac:dyDescent="0.25">
      <c r="A57" s="6">
        <v>42881</v>
      </c>
      <c r="B57" s="2">
        <v>20</v>
      </c>
      <c r="C57" s="1">
        <v>3</v>
      </c>
      <c r="D57" s="2">
        <f t="shared" si="0"/>
        <v>60</v>
      </c>
    </row>
    <row r="58" spans="1:5" x14ac:dyDescent="0.25">
      <c r="A58" s="6">
        <v>42881</v>
      </c>
      <c r="B58" s="2">
        <v>10</v>
      </c>
      <c r="C58" s="1">
        <v>4</v>
      </c>
      <c r="D58" s="2">
        <f t="shared" si="0"/>
        <v>40</v>
      </c>
    </row>
    <row r="59" spans="1:5" x14ac:dyDescent="0.25">
      <c r="A59" s="6">
        <v>42881</v>
      </c>
      <c r="B59" s="2">
        <v>5</v>
      </c>
      <c r="C59" s="1">
        <v>5</v>
      </c>
      <c r="D59" s="2">
        <f t="shared" si="0"/>
        <v>25</v>
      </c>
    </row>
    <row r="60" spans="1:5" x14ac:dyDescent="0.25">
      <c r="A60" s="6">
        <v>42881</v>
      </c>
      <c r="B60" s="2">
        <v>2</v>
      </c>
      <c r="C60" s="1">
        <v>6</v>
      </c>
      <c r="D60" s="2">
        <f t="shared" si="0"/>
        <v>12</v>
      </c>
    </row>
    <row r="61" spans="1:5" x14ac:dyDescent="0.25">
      <c r="A61" s="6">
        <v>42881</v>
      </c>
      <c r="B61" s="2">
        <v>1</v>
      </c>
      <c r="C61" s="1">
        <v>7</v>
      </c>
      <c r="D61" s="2">
        <f t="shared" si="0"/>
        <v>7</v>
      </c>
    </row>
    <row r="62" spans="1:5" x14ac:dyDescent="0.25">
      <c r="A62" s="6">
        <v>42881</v>
      </c>
      <c r="B62" s="2">
        <v>0.5</v>
      </c>
      <c r="C62" s="1">
        <v>8</v>
      </c>
      <c r="D62" s="2">
        <f t="shared" si="0"/>
        <v>4</v>
      </c>
    </row>
    <row r="63" spans="1:5" x14ac:dyDescent="0.25">
      <c r="A63" s="6">
        <v>42881</v>
      </c>
      <c r="B63" s="2">
        <v>0.2</v>
      </c>
      <c r="C63" s="1">
        <v>9</v>
      </c>
      <c r="D63" s="2">
        <f t="shared" si="0"/>
        <v>1.8</v>
      </c>
    </row>
    <row r="64" spans="1:5" x14ac:dyDescent="0.25">
      <c r="A64" s="6">
        <v>42881</v>
      </c>
      <c r="B64" s="2">
        <v>0.1</v>
      </c>
      <c r="C64" s="1">
        <v>1</v>
      </c>
      <c r="D64" s="2">
        <f t="shared" si="0"/>
        <v>0.1</v>
      </c>
    </row>
    <row r="65" spans="1:4" x14ac:dyDescent="0.25">
      <c r="A65" s="6">
        <v>42881</v>
      </c>
      <c r="B65" s="2">
        <v>0.05</v>
      </c>
      <c r="C65" s="1">
        <v>2</v>
      </c>
      <c r="D65" s="2">
        <f t="shared" si="0"/>
        <v>0.1</v>
      </c>
    </row>
    <row r="66" spans="1:4" x14ac:dyDescent="0.25">
      <c r="A66" s="6">
        <v>42881</v>
      </c>
      <c r="B66" s="3"/>
      <c r="C66" s="1"/>
      <c r="D66" s="3">
        <f>SUBTOTAL(109,Table15[value])</f>
        <v>350.00000000000006</v>
      </c>
    </row>
    <row r="67" spans="1:4" x14ac:dyDescent="0.25">
      <c r="A67" s="6">
        <v>42881.545671296299</v>
      </c>
      <c r="B67" s="2" t="s">
        <v>0</v>
      </c>
      <c r="C67" s="4" t="s">
        <v>1</v>
      </c>
      <c r="D67" s="2" t="s">
        <v>2</v>
      </c>
    </row>
    <row r="68" spans="1:4" x14ac:dyDescent="0.25">
      <c r="A68" s="6">
        <v>42881.545671296299</v>
      </c>
      <c r="B68" s="2">
        <v>100</v>
      </c>
      <c r="C68" s="1">
        <v>1</v>
      </c>
      <c r="D68" s="2">
        <f>C68*B68</f>
        <v>100</v>
      </c>
    </row>
    <row r="69" spans="1:4" x14ac:dyDescent="0.25">
      <c r="A69" s="6">
        <v>42881.545671296299</v>
      </c>
      <c r="B69" s="2">
        <v>50</v>
      </c>
      <c r="C69" s="1">
        <v>2</v>
      </c>
      <c r="D69" s="2">
        <f t="shared" ref="D69:D78" si="1">C69*B69</f>
        <v>100</v>
      </c>
    </row>
    <row r="70" spans="1:4" x14ac:dyDescent="0.25">
      <c r="A70" s="6">
        <v>42881.545671296299</v>
      </c>
      <c r="B70" s="2">
        <v>20</v>
      </c>
      <c r="C70" s="1">
        <v>3</v>
      </c>
      <c r="D70" s="2">
        <f t="shared" si="1"/>
        <v>60</v>
      </c>
    </row>
    <row r="71" spans="1:4" x14ac:dyDescent="0.25">
      <c r="A71" s="6">
        <v>42881.545671296299</v>
      </c>
      <c r="B71" s="2">
        <v>10</v>
      </c>
      <c r="C71" s="1">
        <v>4</v>
      </c>
      <c r="D71" s="2">
        <f t="shared" si="1"/>
        <v>40</v>
      </c>
    </row>
    <row r="72" spans="1:4" x14ac:dyDescent="0.25">
      <c r="A72" s="6">
        <v>42881.545671296299</v>
      </c>
      <c r="B72" s="2">
        <v>5</v>
      </c>
      <c r="C72" s="1">
        <v>5</v>
      </c>
      <c r="D72" s="2">
        <f t="shared" si="1"/>
        <v>25</v>
      </c>
    </row>
    <row r="73" spans="1:4" x14ac:dyDescent="0.25">
      <c r="A73" s="6">
        <v>42881.545671296299</v>
      </c>
      <c r="B73" s="2">
        <v>2</v>
      </c>
      <c r="C73" s="1">
        <v>6</v>
      </c>
      <c r="D73" s="2">
        <f t="shared" si="1"/>
        <v>12</v>
      </c>
    </row>
    <row r="74" spans="1:4" x14ac:dyDescent="0.25">
      <c r="A74" s="6">
        <v>42881.545671296299</v>
      </c>
      <c r="B74" s="2">
        <v>1</v>
      </c>
      <c r="C74" s="1">
        <v>7</v>
      </c>
      <c r="D74" s="2">
        <f t="shared" si="1"/>
        <v>7</v>
      </c>
    </row>
    <row r="75" spans="1:4" x14ac:dyDescent="0.25">
      <c r="A75" s="6">
        <v>42881.545671296299</v>
      </c>
      <c r="B75" s="2">
        <v>0.5</v>
      </c>
      <c r="C75" s="1">
        <v>8</v>
      </c>
      <c r="D75" s="2">
        <f t="shared" si="1"/>
        <v>4</v>
      </c>
    </row>
    <row r="76" spans="1:4" x14ac:dyDescent="0.25">
      <c r="A76" s="6">
        <v>42881.545671296299</v>
      </c>
      <c r="B76" s="2">
        <v>0.2</v>
      </c>
      <c r="C76" s="1">
        <v>9</v>
      </c>
      <c r="D76" s="2">
        <f t="shared" si="1"/>
        <v>1.8</v>
      </c>
    </row>
    <row r="77" spans="1:4" x14ac:dyDescent="0.25">
      <c r="A77" s="6">
        <v>42881.545671296299</v>
      </c>
      <c r="B77" s="2">
        <v>0.1</v>
      </c>
      <c r="C77" s="1">
        <v>1</v>
      </c>
      <c r="D77" s="2">
        <f t="shared" si="1"/>
        <v>0.1</v>
      </c>
    </row>
    <row r="78" spans="1:4" x14ac:dyDescent="0.25">
      <c r="A78" s="6">
        <v>42881.545671296299</v>
      </c>
      <c r="B78" s="2">
        <v>0.05</v>
      </c>
      <c r="C78" s="1">
        <v>2</v>
      </c>
      <c r="D78" s="2">
        <f t="shared" si="1"/>
        <v>0.1</v>
      </c>
    </row>
    <row r="79" spans="1:4" x14ac:dyDescent="0.25">
      <c r="A79" s="6">
        <v>42881.545671296299</v>
      </c>
      <c r="B79" s="3"/>
      <c r="C79" s="1"/>
      <c r="D79" s="3">
        <f>SUBTOTAL(109,Table16[value])</f>
        <v>350.00000000000006</v>
      </c>
    </row>
  </sheetData>
  <dataValidations count="1">
    <dataValidation type="whole" allowBlank="1" showInputMessage="1" showErrorMessage="1" sqref="C55:C65 C68:C78">
      <formula1>0</formula1>
      <formula2>12345678</formula2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Drawer Count</vt:lpstr>
      <vt:lpstr>pw is password</vt:lpstr>
      <vt:lpstr>LOG</vt:lpstr>
      <vt:lpstr>LOG_v1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Dad</dc:creator>
  <cp:lastModifiedBy>Dad</cp:lastModifiedBy>
  <dcterms:created xsi:type="dcterms:W3CDTF">2017-05-22T23:14:48Z</dcterms:created>
  <dcterms:modified xsi:type="dcterms:W3CDTF">2017-06-04T23:31:56Z</dcterms:modified>
</cp:coreProperties>
</file>