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 firstSheet="1" activeTab="4"/>
  </bookViews>
  <sheets>
    <sheet name="Total" sheetId="5" state="hidden" r:id="rId1"/>
    <sheet name="Drawer Count" sheetId="1" r:id="rId2"/>
    <sheet name="pw is password" sheetId="2" r:id="rId3"/>
    <sheet name="LOG" sheetId="4" r:id="rId4"/>
    <sheet name="SET_20170607_1202" sheetId="7" r:id="rId5"/>
  </sheets>
  <calcPr calcId="145621"/>
</workbook>
</file>

<file path=xl/calcChain.xml><?xml version="1.0" encoding="utf-8"?>
<calcChain xmlns="http://schemas.openxmlformats.org/spreadsheetml/2006/main">
  <c r="B2" i="5" l="1"/>
  <c r="D163" i="4"/>
  <c r="D162" i="4"/>
  <c r="D161" i="4"/>
  <c r="D160" i="4"/>
  <c r="D159" i="4"/>
  <c r="D158" i="4"/>
  <c r="D157" i="4"/>
  <c r="D156" i="4"/>
  <c r="D155" i="4"/>
  <c r="D154" i="4"/>
  <c r="D153" i="4"/>
  <c r="D152" i="4"/>
  <c r="D150" i="4" l="1"/>
  <c r="D149" i="4"/>
  <c r="D148" i="4"/>
  <c r="D147" i="4"/>
  <c r="D146" i="4"/>
  <c r="D145" i="4"/>
  <c r="D144" i="4"/>
  <c r="D143" i="4"/>
  <c r="D142" i="4"/>
  <c r="D141" i="4"/>
  <c r="D140" i="4"/>
  <c r="D138" i="4"/>
  <c r="D137" i="4"/>
  <c r="D136" i="4"/>
  <c r="D135" i="4"/>
  <c r="D134" i="4"/>
  <c r="D133" i="4"/>
  <c r="D132" i="4"/>
  <c r="D131" i="4"/>
  <c r="D130" i="4"/>
  <c r="D129" i="4"/>
  <c r="D128" i="4"/>
  <c r="D126" i="4" l="1"/>
  <c r="D125" i="4"/>
  <c r="D124" i="4"/>
  <c r="D123" i="4"/>
  <c r="D122" i="4"/>
  <c r="D121" i="4"/>
  <c r="D120" i="4"/>
  <c r="D119" i="4"/>
  <c r="D118" i="4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<sst xmlns="http://schemas.openxmlformats.org/spreadsheetml/2006/main" count="120" uniqueCount="76">
  <si>
    <t>denom</t>
  </si>
  <si>
    <t>count</t>
  </si>
  <si>
    <t>value</t>
  </si>
  <si>
    <t xml:space="preserve"> denom </t>
  </si>
  <si>
    <t xml:space="preserve"> value </t>
  </si>
  <si>
    <t>total</t>
  </si>
  <si>
    <t>ALLUSERSPROFILE</t>
  </si>
  <si>
    <t>C:\ProgramData</t>
  </si>
  <si>
    <t>APPDATA</t>
  </si>
  <si>
    <t>C:\Users\Dad\AppData\Roaming</t>
  </si>
  <si>
    <t>BINGGADGET</t>
  </si>
  <si>
    <t>TOSHIBA</t>
  </si>
  <si>
    <t>CommonProgramFiles</t>
  </si>
  <si>
    <t>C:\Program Files\Common Files</t>
  </si>
  <si>
    <t>COMPUTERNAME</t>
  </si>
  <si>
    <t>2222A6</t>
  </si>
  <si>
    <t>ComSpec</t>
  </si>
  <si>
    <t>C:\windows\system32\cmd.exe</t>
  </si>
  <si>
    <t>ESET_OPTIONS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</si>
  <si>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</si>
  <si>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FP_NO_HOST_CHECK</t>
  </si>
  <si>
    <t>NO</t>
  </si>
  <si>
    <t>HOMEDRIVE</t>
  </si>
  <si>
    <t>C:</t>
  </si>
  <si>
    <t>HOMEPATH</t>
  </si>
  <si>
    <t>\Users\Dad</t>
  </si>
  <si>
    <t>LOCALAPPDATA</t>
  </si>
  <si>
    <t>C:\Users\Dad\AppData\Local</t>
  </si>
  <si>
    <t>LOGONSERVER</t>
  </si>
  <si>
    <t>\\2222A6</t>
  </si>
  <si>
    <t>NUMBER_OF_PROCESSORS</t>
  </si>
  <si>
    <t>OneDrive</t>
  </si>
  <si>
    <t>C:\Users\Dad\OneDrive</t>
  </si>
  <si>
    <t>OS</t>
  </si>
  <si>
    <t>Windows_NT</t>
  </si>
  <si>
    <t>Path</t>
  </si>
  <si>
    <t>C:\Program Files\Microsoft Office\Office14\;C:\ProgramData\Oracle\Java\javapath;C:\Program Files\Common Files\Microsoft Shared\Windows Live;C:\Program Files\NVIDIA Corporation\PhysX\Common;C:\windows\system32;C:\windows;C:\windows\System32\Wbem;C:\windows\System32\WindowsPowerShell\v1.0\;C:\Program Files\Toshiba\Bluetooth Toshiba Stack\sys\;C:\Program Files\Windows Live\Shared;C:\Program Files\Microsoft ASP.NET\ASP.NET Web Pages\v1.0\;C:\Program Files\PICT\;c:\Program Files\Microsoft SQL Server\110\Tools\Binn\;c:\Program Files\Microsoft SQL Server\110\DTS\Binn\;c:\Program Files\Microsoft SQL Server\110\Tools\Binn\ManagementStudio\;C:\windows\System32\WindowsPowerShell\v1.0\;C:\windows\System32\WindowsPowerShell\v1.0\;C:\Program Files\Microsoft\Web Platform Installer\;C:\Program Files\Microsoft Visual Studio 11.0\Common7\IDE\PrivateAssemblies\;C:\Program Files\Microsoft Visual Studio 10.0\Common7\IDE\PrivateAssemblies\;C:\Program Files\Microsoft SDKs\TypeScript\1.0\;C:\Program Files\Microsoft SQL Server\120\Tools\Binn\;C:\windows\System32\WindowsPowerShell\v1.0\</t>
  </si>
  <si>
    <t>PATHEXT</t>
  </si>
  <si>
    <t>.COM;.EXE;.BAT;.CMD;.VBS;.VBE;.JS;.JSE;.WSF;.WSH;.MSC</t>
  </si>
  <si>
    <t>PROCESSOR_ARCHITECTURE</t>
  </si>
  <si>
    <t>x86</t>
  </si>
  <si>
    <t>PROCESSOR_IDENTIFIER</t>
  </si>
  <si>
    <t>x86 Family 6 Model 42 Stepping 7, GenuineIntel</t>
  </si>
  <si>
    <t>PROCESSOR_LEVEL</t>
  </si>
  <si>
    <t>PROCESSOR_REVISION</t>
  </si>
  <si>
    <t>2a07</t>
  </si>
  <si>
    <t>ProgramData</t>
  </si>
  <si>
    <t>ProgramFiles</t>
  </si>
  <si>
    <t>C:\Program Files</t>
  </si>
  <si>
    <t>PSModulePath</t>
  </si>
  <si>
    <t>C:\windows\system32\WindowsPowerShell\v1.0\Modules\;c:\Program Files\Microsoft SQL Server\110\Tools\PowerShell\Modules\</t>
  </si>
  <si>
    <t>PUBLIC</t>
  </si>
  <si>
    <t>C:\Users\Public</t>
  </si>
  <si>
    <t>SESSIONNAME</t>
  </si>
  <si>
    <t>Console</t>
  </si>
  <si>
    <t>SystemDrive</t>
  </si>
  <si>
    <t>SystemRoot</t>
  </si>
  <si>
    <t>C:\windows</t>
  </si>
  <si>
    <t>TEMP</t>
  </si>
  <si>
    <t>C:\Users\Dad\AppData\Local\Temp</t>
  </si>
  <si>
    <t>TMP</t>
  </si>
  <si>
    <t>USERDOMAIN</t>
  </si>
  <si>
    <t>USERNAME</t>
  </si>
  <si>
    <t>Dad</t>
  </si>
  <si>
    <t>USERPROFILE</t>
  </si>
  <si>
    <t>C:\Users\Dad</t>
  </si>
  <si>
    <t>VS110COMNTOOLS</t>
  </si>
  <si>
    <t>C:\Program Files\Microsoft Visual Studio 11.0\Common7\Tools\</t>
  </si>
  <si>
    <t>VS120COMNTOOLS</t>
  </si>
  <si>
    <t>C:\Program Files\Microsoft Visual Studio 12.0\Common7\Tools\</t>
  </si>
  <si>
    <t>WecVersionForRosebud.11DC</t>
  </si>
  <si>
    <t>windir</t>
  </si>
  <si>
    <t>windows_tracing_flags</t>
  </si>
  <si>
    <t>windows_tracing_logfile</t>
  </si>
  <si>
    <t>C:\BVTBin\Tests\installpackage\csilogfile.log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</si>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</sst>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* #,##0.00_);_(* \(#,##0.00\);_(* &quot;-&quot;??_);_(@_)"/>
    <numFmt numFmtId="165" formatCode="ddd\ dd/mm/yyyy\ hh:mm:ss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/>
    <xf numFmtId="164" fontId="2" fillId="0" borderId="0" xfId="1" applyFont="1" applyProtection="1"/>
    <xf numFmtId="0" fontId="0" fillId="0" borderId="0" xfId="0" applyProtection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  <xf numFmtId="164" fontId="4" fillId="0" borderId="1" xfId="1" applyNumberFormat="1" applyFont="1" applyBorder="1"/>
    <xf numFmtId="43" fontId="1" fillId="0" borderId="0" xfId="0" applyNumberFormat="1" applyFont="1" applyProtection="1"/>
  </cellXfs>
  <cellStyles count="2">
    <cellStyle name="Comma" xfId="1" builtinId="3"/>
    <cellStyle name="Normal" xfId="0" builtinId="0"/>
  </cellStyles>
  <dxfs count="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85" dataDxfId="84" totalsRowDxfId="83">
  <autoFilter ref="A1:C12"/>
  <tableColumns count="3">
    <tableColumn id="1" name="denom" dataDxfId="82" totalsRowDxfId="81" dataCellStyle="Comma"/>
    <tableColumn id="2" name="count" totalsRowLabel="total" dataDxfId="80" totalsRowDxfId="79"/>
    <tableColumn id="3" name="value" totalsRowFunction="sum" dataDxfId="78" totalsRowDxfId="77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76" dataDxfId="75" totalsRowDxfId="74">
  <autoFilter ref="B1:D12"/>
  <tableColumns count="3">
    <tableColumn id="1" name="denom" dataDxfId="45" totalsRowDxfId="53" dataCellStyle="Comma"/>
    <tableColumn id="2" name="count" dataDxfId="28" totalsRowDxfId="44"/>
    <tableColumn id="3" name="value" totalsRowFunction="sum" dataDxfId="27" totalsRowDxfId="26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73" dataDxfId="72">
  <autoFilter ref="B14:D25"/>
  <tableColumns count="3">
    <tableColumn id="1" name="denom" totalsRowLabel=" denom " dataDxfId="43" totalsRowDxfId="52" dataCellStyle="Comma"/>
    <tableColumn id="2" name="count" totalsRowLabel="count" dataDxfId="25" totalsRowDxfId="42"/>
    <tableColumn id="3" name="value" totalsRowLabel=" value " dataDxfId="24" totalsRowDxfId="23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71" dataDxfId="70" totalsRowDxfId="69">
  <autoFilter ref="B39:D50"/>
  <tableColumns count="3">
    <tableColumn id="1" name="denom" dataDxfId="41" totalsRowDxfId="51" dataCellStyle="Comma"/>
    <tableColumn id="2" name="count" dataDxfId="22" totalsRowDxfId="40"/>
    <tableColumn id="3" name="value" totalsRowFunction="sum" dataDxfId="21" totalsRowDxfId="20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68" dataDxfId="67" totalsRowDxfId="66">
  <autoFilter ref="B52:D63"/>
  <tableColumns count="3">
    <tableColumn id="1" name="denom" dataDxfId="39" totalsRowDxfId="50" dataCellStyle="Comma"/>
    <tableColumn id="2" name="count" dataDxfId="19" totalsRowDxfId="38"/>
    <tableColumn id="3" name="value" totalsRowFunction="sum" dataDxfId="18" totalsRowDxfId="17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65" dataDxfId="64" totalsRowDxfId="63">
  <autoFilter ref="B65:D76"/>
  <tableColumns count="3">
    <tableColumn id="1" name="denom" dataDxfId="37" totalsRowDxfId="49" dataCellStyle="Comma"/>
    <tableColumn id="2" name="count" dataDxfId="16" totalsRowDxfId="36"/>
    <tableColumn id="3" name="value" totalsRowFunction="sum" dataDxfId="15" totalsRowDxfId="14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62" dataDxfId="61" totalsRowDxfId="60">
  <autoFilter ref="B78:D89"/>
  <tableColumns count="3">
    <tableColumn id="1" name="denom" dataDxfId="35" totalsRowDxfId="48" dataCellStyle="Comma"/>
    <tableColumn id="2" name="count" dataDxfId="13" totalsRowDxfId="34"/>
    <tableColumn id="3" name="value" totalsRowFunction="sum" dataDxfId="12" totalsRowDxfId="11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59" dataDxfId="58">
  <autoFilter ref="B91:D102"/>
  <tableColumns count="3">
    <tableColumn id="1" name="denom" totalsRowLabel=" denom " dataDxfId="33" totalsRowDxfId="47" dataCellStyle="Comma"/>
    <tableColumn id="2" name="count" totalsRowLabel="count" dataDxfId="10" totalsRowDxfId="32"/>
    <tableColumn id="3" name="value" totalsRowLabel=" value " dataDxfId="9" totalsRowDxfId="8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57" dataDxfId="56">
  <autoFilter ref="B115:D126"/>
  <tableColumns count="3">
    <tableColumn id="1" name="denom" totalsRowLabel=" denom " dataDxfId="31" totalsRowDxfId="46" dataCellStyle="Comma"/>
    <tableColumn id="2" name="count" totalsRowLabel="count" dataDxfId="7" totalsRowDxfId="30"/>
    <tableColumn id="3" name="value" totalsRowLabel=" value " dataDxfId="6" totalsRowDxfId="5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13" displayName="Table13" ref="B139:D151" totalsRowCount="1" headerRowDxfId="55" dataDxfId="54">
  <autoFilter ref="B139:D150"/>
  <tableColumns count="3">
    <tableColumn id="1" name="denom" totalsRowLabel=" denom " dataDxfId="29" totalsRowDxfId="2" dataCellStyle="Comma"/>
    <tableColumn id="2" name="count" totalsRowLabel="count" dataDxfId="4" totalsRowDxfId="1"/>
    <tableColumn id="3" name="value" totalsRowLabel=" value " dataDxfId="3" totalsRowDxfId="0" dataCellStyle="Comma">
      <calculatedColumnFormula>C140*B140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workbookViewId="0">
      <selection activeCell="B1" sqref="B1"/>
    </sheetView>
  </sheetViews>
  <sheetFormatPr defaultRowHeight="15" x14ac:dyDescent="0.25"/>
  <cols>
    <col min="1" max="1" width="23.28515625" style="6" bestFit="1" customWidth="1"/>
    <col min="2" max="2" width="12.28515625" style="5" customWidth="1"/>
  </cols>
  <sheetData>
    <row r="1" spans="1:2" ht="15.75" thickBot="1" x14ac:dyDescent="0.3">
      <c r="A1" s="6" t="s">
        <v>75</v>
      </c>
      <c r="B1" s="5" t="s">
        <v>5</v>
      </c>
    </row>
    <row r="2" spans="1:2" ht="15.75" thickTop="1" x14ac:dyDescent="0.25">
      <c r="A2" s="6">
        <v>42893.459085648145</v>
      </c>
      <c r="B2" s="13">
        <f>SUBTOTAL(109,Table1[value])</f>
        <v>2782.2999999999997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C13" sqref="C13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1</v>
      </c>
      <c r="C2" s="2">
        <f>B2*A2</f>
        <v>100</v>
      </c>
    </row>
    <row r="3" spans="1:3" x14ac:dyDescent="0.25">
      <c r="A3" s="2">
        <v>50</v>
      </c>
      <c r="B3" s="1">
        <v>23</v>
      </c>
      <c r="C3" s="2">
        <f t="shared" ref="C3:C12" si="0">B3*A3</f>
        <v>1150</v>
      </c>
    </row>
    <row r="4" spans="1:3" x14ac:dyDescent="0.25">
      <c r="A4" s="2">
        <v>20</v>
      </c>
      <c r="B4" s="1">
        <v>34</v>
      </c>
      <c r="C4" s="2">
        <f t="shared" si="0"/>
        <v>680</v>
      </c>
    </row>
    <row r="5" spans="1:3" x14ac:dyDescent="0.25">
      <c r="A5" s="2">
        <v>10</v>
      </c>
      <c r="B5" s="1">
        <v>44</v>
      </c>
      <c r="C5" s="2">
        <f t="shared" si="0"/>
        <v>440</v>
      </c>
    </row>
    <row r="6" spans="1:3" x14ac:dyDescent="0.25">
      <c r="A6" s="2">
        <v>5</v>
      </c>
      <c r="B6" s="1">
        <v>54</v>
      </c>
      <c r="C6" s="2">
        <f t="shared" si="0"/>
        <v>270</v>
      </c>
    </row>
    <row r="7" spans="1:3" x14ac:dyDescent="0.25">
      <c r="A7" s="2">
        <v>2</v>
      </c>
      <c r="B7" s="1">
        <v>56</v>
      </c>
      <c r="C7" s="2">
        <f t="shared" si="0"/>
        <v>112</v>
      </c>
    </row>
    <row r="8" spans="1:3" x14ac:dyDescent="0.25">
      <c r="A8" s="2">
        <v>1</v>
      </c>
      <c r="B8" s="1">
        <v>7</v>
      </c>
      <c r="C8" s="2">
        <f t="shared" si="0"/>
        <v>7</v>
      </c>
    </row>
    <row r="9" spans="1:3" x14ac:dyDescent="0.25">
      <c r="A9" s="2">
        <v>0.5</v>
      </c>
      <c r="B9" s="1">
        <v>45</v>
      </c>
      <c r="C9" s="2">
        <f t="shared" si="0"/>
        <v>22.5</v>
      </c>
    </row>
    <row r="10" spans="1:3" x14ac:dyDescent="0.25">
      <c r="A10" s="2">
        <v>0.2</v>
      </c>
      <c r="B10" s="1">
        <v>3</v>
      </c>
      <c r="C10" s="2">
        <f t="shared" si="0"/>
        <v>0.60000000000000009</v>
      </c>
    </row>
    <row r="11" spans="1:3" x14ac:dyDescent="0.25">
      <c r="A11" s="2">
        <v>0.1</v>
      </c>
      <c r="B11" s="1">
        <v>2</v>
      </c>
      <c r="C11" s="2">
        <f t="shared" si="0"/>
        <v>0.2</v>
      </c>
    </row>
    <row r="12" spans="1:3" x14ac:dyDescent="0.25">
      <c r="A12" s="2">
        <v>0.05</v>
      </c>
      <c r="B12" s="1">
        <v>0</v>
      </c>
      <c r="C12" s="2">
        <f t="shared" si="0"/>
        <v>0</v>
      </c>
    </row>
    <row r="13" spans="1:3" x14ac:dyDescent="0.25">
      <c r="A13" s="3"/>
      <c r="B13" s="1" t="s">
        <v>5</v>
      </c>
      <c r="C13" s="3">
        <f>SUBTOTAL(109,Table1[value])</f>
        <v>2782.2999999999997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63"/>
  <sheetViews>
    <sheetView workbookViewId="0"/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3</v>
      </c>
      <c r="C26" s="10" t="s">
        <v>1</v>
      </c>
      <c r="D26" s="12" t="s">
        <v>4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2782.2999999999997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3</v>
      </c>
      <c r="C103" s="10" t="s">
        <v>1</v>
      </c>
      <c r="D103" s="12" t="s">
        <v>4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42891.453321759262</v>
      </c>
      <c r="B127" s="12" t="s">
        <v>3</v>
      </c>
      <c r="C127" s="10" t="s">
        <v>1</v>
      </c>
      <c r="D127" s="12" t="s">
        <v>4</v>
      </c>
    </row>
    <row r="128" spans="1:4" x14ac:dyDescent="0.25">
      <c r="A128" s="6">
        <v>42891.453321759262</v>
      </c>
      <c r="B128" s="8">
        <v>100</v>
      </c>
      <c r="C128" s="11">
        <v>3</v>
      </c>
      <c r="D128" s="8">
        <f>C128*B128</f>
        <v>300</v>
      </c>
    </row>
    <row r="129" spans="1:4" x14ac:dyDescent="0.25">
      <c r="A129" s="6">
        <v>42891.453321759262</v>
      </c>
      <c r="B129" s="8">
        <v>50</v>
      </c>
      <c r="C129" s="11">
        <v>4</v>
      </c>
      <c r="D129" s="8">
        <f t="shared" ref="D129:D138" si="10">C129*B129</f>
        <v>200</v>
      </c>
    </row>
    <row r="130" spans="1:4" x14ac:dyDescent="0.25">
      <c r="A130" s="6">
        <v>42891.453321759262</v>
      </c>
      <c r="B130" s="8">
        <v>20</v>
      </c>
      <c r="C130" s="11">
        <v>5</v>
      </c>
      <c r="D130" s="8">
        <f t="shared" si="10"/>
        <v>100</v>
      </c>
    </row>
    <row r="131" spans="1:4" x14ac:dyDescent="0.25">
      <c r="A131" s="6">
        <v>42891.453321759262</v>
      </c>
      <c r="B131" s="8">
        <v>10</v>
      </c>
      <c r="C131" s="11">
        <v>6</v>
      </c>
      <c r="D131" s="8">
        <f t="shared" si="10"/>
        <v>60</v>
      </c>
    </row>
    <row r="132" spans="1:4" x14ac:dyDescent="0.25">
      <c r="A132" s="6">
        <v>42891.453321759262</v>
      </c>
      <c r="B132" s="8">
        <v>5</v>
      </c>
      <c r="C132" s="11">
        <v>7</v>
      </c>
      <c r="D132" s="8">
        <f t="shared" si="10"/>
        <v>35</v>
      </c>
    </row>
    <row r="133" spans="1:4" x14ac:dyDescent="0.25">
      <c r="A133" s="6">
        <v>42891.453321759262</v>
      </c>
      <c r="B133" s="8">
        <v>2</v>
      </c>
      <c r="C133" s="11">
        <v>8</v>
      </c>
      <c r="D133" s="8">
        <f t="shared" si="10"/>
        <v>16</v>
      </c>
    </row>
    <row r="134" spans="1:4" x14ac:dyDescent="0.25">
      <c r="A134" s="6">
        <v>42891.453321759262</v>
      </c>
      <c r="B134" s="8">
        <v>1</v>
      </c>
      <c r="C134" s="11">
        <v>9</v>
      </c>
      <c r="D134" s="8">
        <f t="shared" si="10"/>
        <v>9</v>
      </c>
    </row>
    <row r="135" spans="1:4" x14ac:dyDescent="0.25">
      <c r="A135" s="6">
        <v>42891.453321759262</v>
      </c>
      <c r="B135" s="8">
        <v>0.5</v>
      </c>
      <c r="C135" s="11">
        <v>0</v>
      </c>
      <c r="D135" s="8">
        <f t="shared" si="10"/>
        <v>0</v>
      </c>
    </row>
    <row r="136" spans="1:4" x14ac:dyDescent="0.25">
      <c r="A136" s="6">
        <v>42891.453321759262</v>
      </c>
      <c r="B136" s="8">
        <v>0.2</v>
      </c>
      <c r="C136" s="11">
        <v>2</v>
      </c>
      <c r="D136" s="8">
        <f t="shared" si="10"/>
        <v>0.4</v>
      </c>
    </row>
    <row r="137" spans="1:4" x14ac:dyDescent="0.25">
      <c r="A137" s="6">
        <v>42891.453321759262</v>
      </c>
      <c r="B137" s="8">
        <v>0.1</v>
      </c>
      <c r="C137" s="11">
        <v>3</v>
      </c>
      <c r="D137" s="8">
        <f t="shared" si="10"/>
        <v>0.30000000000000004</v>
      </c>
    </row>
    <row r="138" spans="1:4" x14ac:dyDescent="0.25">
      <c r="A138" s="6">
        <v>42891.453321759262</v>
      </c>
      <c r="B138" s="8">
        <v>0.05</v>
      </c>
      <c r="C138" s="11">
        <v>4</v>
      </c>
      <c r="D138" s="8">
        <f t="shared" si="10"/>
        <v>0.2</v>
      </c>
    </row>
    <row r="139" spans="1:4" x14ac:dyDescent="0.25">
      <c r="A139" s="6">
        <v>42891.884837962964</v>
      </c>
      <c r="B139" s="8" t="s">
        <v>0</v>
      </c>
      <c r="C139" s="10" t="s">
        <v>1</v>
      </c>
      <c r="D139" s="8" t="s">
        <v>2</v>
      </c>
    </row>
    <row r="140" spans="1:4" x14ac:dyDescent="0.25">
      <c r="A140" s="6">
        <v>42891.884837962964</v>
      </c>
      <c r="B140" s="8">
        <v>100</v>
      </c>
      <c r="C140" s="11">
        <v>1</v>
      </c>
      <c r="D140" s="8">
        <f>C140*B140</f>
        <v>100</v>
      </c>
    </row>
    <row r="141" spans="1:4" x14ac:dyDescent="0.25">
      <c r="A141" s="6">
        <v>42891.884837962964</v>
      </c>
      <c r="B141" s="8">
        <v>50</v>
      </c>
      <c r="C141" s="11">
        <v>23</v>
      </c>
      <c r="D141" s="8">
        <f t="shared" ref="D141:D150" si="11">C141*B141</f>
        <v>1150</v>
      </c>
    </row>
    <row r="142" spans="1:4" x14ac:dyDescent="0.25">
      <c r="A142" s="6">
        <v>42891.884837962964</v>
      </c>
      <c r="B142" s="8">
        <v>20</v>
      </c>
      <c r="C142" s="11">
        <v>34</v>
      </c>
      <c r="D142" s="8">
        <f t="shared" si="11"/>
        <v>680</v>
      </c>
    </row>
    <row r="143" spans="1:4" x14ac:dyDescent="0.25">
      <c r="A143" s="6">
        <v>42891.884837962964</v>
      </c>
      <c r="B143" s="8">
        <v>10</v>
      </c>
      <c r="C143" s="11">
        <v>44</v>
      </c>
      <c r="D143" s="8">
        <f t="shared" si="11"/>
        <v>440</v>
      </c>
    </row>
    <row r="144" spans="1:4" x14ac:dyDescent="0.25">
      <c r="A144" s="6">
        <v>42891.884837962964</v>
      </c>
      <c r="B144" s="8">
        <v>5</v>
      </c>
      <c r="C144" s="11">
        <v>54</v>
      </c>
      <c r="D144" s="8">
        <f t="shared" si="11"/>
        <v>270</v>
      </c>
    </row>
    <row r="145" spans="1:4" x14ac:dyDescent="0.25">
      <c r="A145" s="6">
        <v>42891.884837962964</v>
      </c>
      <c r="B145" s="8">
        <v>2</v>
      </c>
      <c r="C145" s="11">
        <v>56</v>
      </c>
      <c r="D145" s="8">
        <f t="shared" si="11"/>
        <v>112</v>
      </c>
    </row>
    <row r="146" spans="1:4" x14ac:dyDescent="0.25">
      <c r="A146" s="6">
        <v>42891.884837962964</v>
      </c>
      <c r="B146" s="8">
        <v>1</v>
      </c>
      <c r="C146" s="11">
        <v>7</v>
      </c>
      <c r="D146" s="8">
        <f t="shared" si="11"/>
        <v>7</v>
      </c>
    </row>
    <row r="147" spans="1:4" x14ac:dyDescent="0.25">
      <c r="A147" s="6">
        <v>42891.884837962964</v>
      </c>
      <c r="B147" s="8">
        <v>0.5</v>
      </c>
      <c r="C147" s="11">
        <v>45</v>
      </c>
      <c r="D147" s="8">
        <f t="shared" si="11"/>
        <v>22.5</v>
      </c>
    </row>
    <row r="148" spans="1:4" x14ac:dyDescent="0.25">
      <c r="A148" s="6">
        <v>42891.884837962964</v>
      </c>
      <c r="B148" s="8">
        <v>0.2</v>
      </c>
      <c r="C148" s="11">
        <v>3</v>
      </c>
      <c r="D148" s="8">
        <f t="shared" si="11"/>
        <v>0.60000000000000009</v>
      </c>
    </row>
    <row r="149" spans="1:4" x14ac:dyDescent="0.25">
      <c r="A149" s="6">
        <v>42891.884837962964</v>
      </c>
      <c r="B149" s="8">
        <v>0.1</v>
      </c>
      <c r="C149" s="11">
        <v>2</v>
      </c>
      <c r="D149" s="8">
        <f t="shared" si="11"/>
        <v>0.2</v>
      </c>
    </row>
    <row r="150" spans="1:4" x14ac:dyDescent="0.25">
      <c r="A150" s="6">
        <v>42891.884837962964</v>
      </c>
      <c r="B150" s="8">
        <v>0.05</v>
      </c>
      <c r="C150" s="11">
        <v>0</v>
      </c>
      <c r="D150" s="8">
        <f t="shared" si="11"/>
        <v>0</v>
      </c>
    </row>
    <row r="151" spans="1:4" x14ac:dyDescent="0.25">
      <c r="A151" s="6">
        <v>42893.459085648145</v>
      </c>
      <c r="B151" s="14" t="s">
        <v>3</v>
      </c>
      <c r="C151" s="4" t="s">
        <v>1</v>
      </c>
      <c r="D151" s="14" t="s">
        <v>4</v>
      </c>
    </row>
    <row r="152" spans="1:4" x14ac:dyDescent="0.25">
      <c r="A152" s="6">
        <v>42893.459085648145</v>
      </c>
      <c r="B152" s="2">
        <v>100</v>
      </c>
      <c r="C152" s="1">
        <v>1</v>
      </c>
      <c r="D152" s="2">
        <f>C152*B152</f>
        <v>100</v>
      </c>
    </row>
    <row r="153" spans="1:4" x14ac:dyDescent="0.25">
      <c r="A153" s="6">
        <v>42893.459085648145</v>
      </c>
      <c r="B153" s="2">
        <v>50</v>
      </c>
      <c r="C153" s="1">
        <v>23</v>
      </c>
      <c r="D153" s="2">
        <f t="shared" ref="D153:D162" si="12">C153*B153</f>
        <v>1150</v>
      </c>
    </row>
    <row r="154" spans="1:4" x14ac:dyDescent="0.25">
      <c r="A154" s="6">
        <v>42893.459085648145</v>
      </c>
      <c r="B154" s="2">
        <v>20</v>
      </c>
      <c r="C154" s="1">
        <v>34</v>
      </c>
      <c r="D154" s="2">
        <f t="shared" si="12"/>
        <v>680</v>
      </c>
    </row>
    <row r="155" spans="1:4" x14ac:dyDescent="0.25">
      <c r="A155" s="6">
        <v>42893.459085648145</v>
      </c>
      <c r="B155" s="2">
        <v>10</v>
      </c>
      <c r="C155" s="1">
        <v>44</v>
      </c>
      <c r="D155" s="2">
        <f t="shared" si="12"/>
        <v>440</v>
      </c>
    </row>
    <row r="156" spans="1:4" x14ac:dyDescent="0.25">
      <c r="A156" s="6">
        <v>42893.459085648145</v>
      </c>
      <c r="B156" s="2">
        <v>5</v>
      </c>
      <c r="C156" s="1">
        <v>54</v>
      </c>
      <c r="D156" s="2">
        <f t="shared" si="12"/>
        <v>270</v>
      </c>
    </row>
    <row r="157" spans="1:4" x14ac:dyDescent="0.25">
      <c r="A157" s="6">
        <v>42893.459085648145</v>
      </c>
      <c r="B157" s="2">
        <v>2</v>
      </c>
      <c r="C157" s="1">
        <v>56</v>
      </c>
      <c r="D157" s="2">
        <f t="shared" si="12"/>
        <v>112</v>
      </c>
    </row>
    <row r="158" spans="1:4" x14ac:dyDescent="0.25">
      <c r="A158" s="6">
        <v>42893.459085648145</v>
      </c>
      <c r="B158" s="2">
        <v>1</v>
      </c>
      <c r="C158" s="1">
        <v>7</v>
      </c>
      <c r="D158" s="2">
        <f t="shared" si="12"/>
        <v>7</v>
      </c>
    </row>
    <row r="159" spans="1:4" x14ac:dyDescent="0.25">
      <c r="A159" s="6">
        <v>42893.459085648145</v>
      </c>
      <c r="B159" s="2">
        <v>0.5</v>
      </c>
      <c r="C159" s="1">
        <v>45</v>
      </c>
      <c r="D159" s="2">
        <f t="shared" si="12"/>
        <v>22.5</v>
      </c>
    </row>
    <row r="160" spans="1:4" x14ac:dyDescent="0.25">
      <c r="A160" s="6">
        <v>42893.459085648145</v>
      </c>
      <c r="B160" s="2">
        <v>0.2</v>
      </c>
      <c r="C160" s="1">
        <v>3</v>
      </c>
      <c r="D160" s="2">
        <f t="shared" si="12"/>
        <v>0.60000000000000009</v>
      </c>
    </row>
    <row r="161" spans="1:4" x14ac:dyDescent="0.25">
      <c r="A161" s="6">
        <v>42893.459085648145</v>
      </c>
      <c r="B161" s="2">
        <v>0.1</v>
      </c>
      <c r="C161" s="1">
        <v>2</v>
      </c>
      <c r="D161" s="2">
        <f t="shared" si="12"/>
        <v>0.2</v>
      </c>
    </row>
    <row r="162" spans="1:4" x14ac:dyDescent="0.25">
      <c r="A162" s="6">
        <v>42893.459085648145</v>
      </c>
      <c r="B162" s="2">
        <v>0.05</v>
      </c>
      <c r="C162" s="1">
        <v>0</v>
      </c>
      <c r="D162" s="2">
        <f t="shared" si="12"/>
        <v>0</v>
      </c>
    </row>
    <row r="163" spans="1:4" x14ac:dyDescent="0.25">
      <c r="A163" s="6">
        <v>42893.459085648145</v>
      </c>
      <c r="B163" s="3"/>
      <c r="C163" s="1" t="s">
        <v>5</v>
      </c>
      <c r="D163" s="3">
        <f>SUBTOTAL(109,Table1[value])</f>
        <v>2782.2999999999997</v>
      </c>
    </row>
  </sheetData>
  <dataValidations count="1">
    <dataValidation type="whole" allowBlank="1" showInputMessage="1" showErrorMessage="1" sqref="C2:C12 C15:C25 C27:C37 C40:C50 C53:C63 C66:C76 C79:C89 C92:C102 C104:C114 C116:C126 C128:C138 C140:C150 C152:C162">
      <formula1>0</formula1>
      <formula2>12345678</formula2>
    </dataValidation>
  </dataValidations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tabSelected="1" topLeftCell="B1" workbookViewId="0">
      <selection activeCell="B25" sqref="B25"/>
    </sheetView>
  </sheetViews>
  <sheetFormatPr defaultRowHeight="15" x14ac:dyDescent="0.25"/>
  <cols>
    <col min="1" max="1" width="27.85546875" bestFit="1" customWidth="1"/>
    <col min="2" max="2" width="255.7109375" bestFit="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 t="s">
        <v>9</v>
      </c>
    </row>
    <row r="3" spans="1:2" x14ac:dyDescent="0.25">
      <c r="A3" t="s">
        <v>10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14</v>
      </c>
      <c r="B5" t="s">
        <v>15</v>
      </c>
    </row>
    <row r="6" spans="1:2" x14ac:dyDescent="0.25">
      <c r="A6" t="s">
        <v>16</v>
      </c>
      <c r="B6" t="s">
        <v>17</v>
      </c>
    </row>
    <row r="7" spans="1:2" x14ac:dyDescent="0.25">
      <c r="A7" t="s">
        <v>18</v>
      </c>
      <c r="B7" t="s">
        <v>19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24</v>
      </c>
      <c r="B10" t="s">
        <v>25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>
        <v>4</v>
      </c>
    </row>
    <row r="14" spans="1:2" x14ac:dyDescent="0.25">
      <c r="A14" t="s">
        <v>31</v>
      </c>
      <c r="B14" t="s">
        <v>32</v>
      </c>
    </row>
    <row r="15" spans="1:2" x14ac:dyDescent="0.25">
      <c r="A15" t="s">
        <v>33</v>
      </c>
      <c r="B15" t="s">
        <v>34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37</v>
      </c>
      <c r="B17" t="s">
        <v>38</v>
      </c>
    </row>
    <row r="18" spans="1:2" x14ac:dyDescent="0.25">
      <c r="A18" t="s">
        <v>39</v>
      </c>
      <c r="B18" t="s">
        <v>40</v>
      </c>
    </row>
    <row r="19" spans="1:2" x14ac:dyDescent="0.25">
      <c r="A19" t="s">
        <v>41</v>
      </c>
      <c r="B19" t="s">
        <v>42</v>
      </c>
    </row>
    <row r="20" spans="1:2" x14ac:dyDescent="0.25">
      <c r="A20" t="s">
        <v>43</v>
      </c>
      <c r="B20">
        <v>6</v>
      </c>
    </row>
    <row r="21" spans="1:2" x14ac:dyDescent="0.25">
      <c r="A21" t="s">
        <v>44</v>
      </c>
      <c r="B21" t="s">
        <v>45</v>
      </c>
    </row>
    <row r="22" spans="1:2" x14ac:dyDescent="0.25">
      <c r="A22" t="s">
        <v>46</v>
      </c>
      <c r="B22" t="s">
        <v>7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23</v>
      </c>
    </row>
    <row r="28" spans="1:2" x14ac:dyDescent="0.25">
      <c r="A28" t="s">
        <v>56</v>
      </c>
      <c r="B28" t="s">
        <v>57</v>
      </c>
    </row>
    <row r="29" spans="1:2" x14ac:dyDescent="0.25">
      <c r="A29" t="s">
        <v>58</v>
      </c>
      <c r="B29" t="s">
        <v>59</v>
      </c>
    </row>
    <row r="30" spans="1:2" x14ac:dyDescent="0.25">
      <c r="A30" t="s">
        <v>60</v>
      </c>
      <c r="B30" t="s">
        <v>59</v>
      </c>
    </row>
    <row r="31" spans="1:2" x14ac:dyDescent="0.25">
      <c r="A31" t="s">
        <v>61</v>
      </c>
      <c r="B31" t="s">
        <v>15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>
        <v>4</v>
      </c>
    </row>
    <row r="37" spans="1:2" x14ac:dyDescent="0.25">
      <c r="A37" t="s">
        <v>71</v>
      </c>
      <c r="B37" t="s">
        <v>57</v>
      </c>
    </row>
    <row r="38" spans="1:2" x14ac:dyDescent="0.25">
      <c r="A38" t="s">
        <v>72</v>
      </c>
      <c r="B38">
        <v>3</v>
      </c>
    </row>
    <row r="39" spans="1:2" x14ac:dyDescent="0.25">
      <c r="A39" t="s">
        <v>73</v>
      </c>
      <c r="B3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Total</vt:lpstr>
      <vt:lpstr>Drawer Count</vt:lpstr>
      <vt:lpstr>pw is password</vt:lpstr>
      <vt:lpstr>LOG</vt:lpstr>
      <vt:lpstr>SET_20170607_1202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2017-06-07T02:11:11Z</dcterms:modified>
</cp:coreProperties>
</file>